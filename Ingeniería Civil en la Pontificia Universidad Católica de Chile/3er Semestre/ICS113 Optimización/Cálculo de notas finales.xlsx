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5oBqZPvOd2coDRm6STwxHs9PEjUUev1Gs8DilayQRiI="/>
    </ext>
  </extLst>
</workbook>
</file>

<file path=xl/sharedStrings.xml><?xml version="1.0" encoding="utf-8"?>
<sst xmlns="http://schemas.openxmlformats.org/spreadsheetml/2006/main" count="21" uniqueCount="21">
  <si>
    <t>Pruebas</t>
  </si>
  <si>
    <t>i1</t>
  </si>
  <si>
    <t>i2</t>
  </si>
  <si>
    <t>Examen</t>
  </si>
  <si>
    <t>NE</t>
  </si>
  <si>
    <t>Tareas</t>
  </si>
  <si>
    <t>T1</t>
  </si>
  <si>
    <t>T2</t>
  </si>
  <si>
    <t>T3</t>
  </si>
  <si>
    <t>NT</t>
  </si>
  <si>
    <t>Proyecto</t>
  </si>
  <si>
    <t>E1</t>
  </si>
  <si>
    <t>E2</t>
  </si>
  <si>
    <t>E3</t>
  </si>
  <si>
    <t>E4</t>
  </si>
  <si>
    <t>PF</t>
  </si>
  <si>
    <t>NP</t>
  </si>
  <si>
    <t>Criterios de aprobación</t>
  </si>
  <si>
    <t>NE ≥ 4,0</t>
  </si>
  <si>
    <t>NP ≥ 4,0</t>
  </si>
  <si>
    <t>Nota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</si>
</sst>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A7E1E6"/>
        <bgColor rgb="FFA7E1E6"/>
      </patternFill>
    </fill>
    <fill>
      <patternFill patternType="solid">
        <fgColor rgb="FFFFE599"/>
        <bgColor rgb="FFFFE599"/>
      </patternFill>
    </fill>
    <fill>
      <patternFill patternType="solid">
        <fgColor rgb="FFCBDD81"/>
        <bgColor rgb="FFCBDD81"/>
      </patternFill>
    </fill>
    <fill>
      <patternFill patternType="solid">
        <fgColor rgb="FFDFECA9"/>
        <bgColor rgb="FFDFECA9"/>
      </patternFill>
    </fill>
    <fill>
      <patternFill patternType="solid">
        <fgColor rgb="FFC094E1"/>
        <bgColor rgb="FFC094E1"/>
      </patternFill>
    </fill>
    <fill>
      <patternFill patternType="solid">
        <fgColor rgb="FFDFBFF7"/>
        <bgColor rgb="FFDFBFF7"/>
      </patternFill>
    </fill>
    <fill>
      <patternFill patternType="solid">
        <fgColor rgb="FFFFB7D7"/>
        <bgColor rgb="FFFFB7D7"/>
      </patternFill>
    </fill>
    <fill>
      <patternFill patternType="solid">
        <fgColor rgb="FFFCD7E7"/>
        <bgColor rgb="FFFCD7E7"/>
      </patternFill>
    </fill>
  </fills>
  <borders count="16">
    <border/>
    <border>
      <bottom style="thin">
        <color rgb="FF000000"/>
      </bottom>
    </border>
    <border>
      <right style="thin">
        <color rgb="FF000000"/>
      </right>
    </border>
    <border>
      <left/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center"/>
    </xf>
    <xf borderId="4" fillId="0" fontId="3" numFmtId="0" xfId="0" applyBorder="1" applyFont="1"/>
    <xf borderId="5" fillId="0" fontId="1" numFmtId="2" xfId="0" applyAlignment="1" applyBorder="1" applyFont="1" applyNumberFormat="1">
      <alignment horizontal="right" readingOrder="0"/>
    </xf>
    <xf borderId="6" fillId="3" fontId="1" numFmtId="0" xfId="0" applyBorder="1" applyFill="1" applyFont="1"/>
    <xf borderId="7" fillId="4" fontId="1" numFmtId="2" xfId="0" applyAlignment="1" applyBorder="1" applyFill="1" applyFont="1" applyNumberFormat="1">
      <alignment horizontal="right" readingOrder="0"/>
    </xf>
    <xf borderId="8" fillId="3" fontId="2" numFmtId="0" xfId="0" applyBorder="1" applyFont="1"/>
    <xf borderId="9" fillId="2" fontId="2" numFmtId="4" xfId="0" applyAlignment="1" applyBorder="1" applyFont="1" applyNumberFormat="1">
      <alignment horizontal="right"/>
    </xf>
    <xf borderId="3" fillId="5" fontId="2" numFmtId="0" xfId="0" applyAlignment="1" applyBorder="1" applyFill="1" applyFont="1">
      <alignment horizontal="center"/>
    </xf>
    <xf borderId="6" fillId="6" fontId="1" numFmtId="0" xfId="0" applyBorder="1" applyFill="1" applyFont="1"/>
    <xf borderId="8" fillId="6" fontId="2" numFmtId="0" xfId="0" applyBorder="1" applyFont="1"/>
    <xf borderId="9" fillId="5" fontId="2" numFmtId="2" xfId="0" applyAlignment="1" applyBorder="1" applyFont="1" applyNumberFormat="1">
      <alignment horizontal="right"/>
    </xf>
    <xf borderId="10" fillId="7" fontId="2" numFmtId="0" xfId="0" applyAlignment="1" applyBorder="1" applyFill="1" applyFont="1">
      <alignment horizontal="center"/>
    </xf>
    <xf borderId="11" fillId="0" fontId="3" numFmtId="0" xfId="0" applyBorder="1" applyFont="1"/>
    <xf borderId="12" fillId="8" fontId="1" numFmtId="0" xfId="0" applyBorder="1" applyFill="1" applyFont="1"/>
    <xf borderId="8" fillId="8" fontId="2" numFmtId="0" xfId="0" applyBorder="1" applyFont="1"/>
    <xf borderId="9" fillId="7" fontId="2" numFmtId="2" xfId="0" applyAlignment="1" applyBorder="1" applyFont="1" applyNumberFormat="1">
      <alignment horizontal="right"/>
    </xf>
    <xf borderId="10" fillId="9" fontId="2" numFmtId="0" xfId="0" applyAlignment="1" applyBorder="1" applyFill="1" applyFont="1">
      <alignment horizontal="center"/>
    </xf>
    <xf borderId="12" fillId="10" fontId="1" numFmtId="0" xfId="0" applyAlignment="1" applyBorder="1" applyFill="1" applyFont="1">
      <alignment readingOrder="0"/>
    </xf>
    <xf borderId="13" fillId="10" fontId="1" numFmtId="0" xfId="0" applyBorder="1" applyFont="1"/>
    <xf borderId="14" fillId="0" fontId="1" numFmtId="0" xfId="0" applyBorder="1" applyFont="1"/>
    <xf borderId="8" fillId="9" fontId="2" numFmtId="0" xfId="0" applyBorder="1" applyFont="1"/>
    <xf borderId="15" fillId="0" fontId="1" numFmtId="164" xfId="0" applyAlignment="1" applyBorder="1" applyFont="1" applyNumberForma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CBDD81"/>
          <bgColor rgb="FFCBDD81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6" width="12.63"/>
  </cols>
  <sheetData>
    <row r="1" ht="15.75" customHeight="1">
      <c r="A1" s="1"/>
      <c r="B1" s="2"/>
      <c r="C1" s="2"/>
      <c r="D1" s="1"/>
    </row>
    <row r="2" ht="15.75" customHeight="1">
      <c r="A2" s="3"/>
      <c r="B2" s="4" t="s">
        <v>0</v>
      </c>
      <c r="C2" s="5"/>
      <c r="D2" s="1"/>
      <c r="E2" s="6"/>
    </row>
    <row r="3" ht="15.75" customHeight="1">
      <c r="A3" s="3"/>
      <c r="B3" s="7" t="s">
        <v>1</v>
      </c>
      <c r="C3" s="8"/>
      <c r="D3" s="1"/>
      <c r="E3" s="6"/>
    </row>
    <row r="4" ht="15.75" customHeight="1">
      <c r="A4" s="3"/>
      <c r="B4" s="7" t="s">
        <v>2</v>
      </c>
      <c r="C4" s="8"/>
      <c r="D4" s="1"/>
    </row>
    <row r="5" ht="15.75" customHeight="1">
      <c r="A5" s="3"/>
      <c r="B5" s="7" t="s">
        <v>3</v>
      </c>
      <c r="C5" s="8"/>
      <c r="D5" s="1"/>
    </row>
    <row r="6" ht="15.75" customHeight="1">
      <c r="A6" s="3"/>
      <c r="B6" s="9" t="s">
        <v>4</v>
      </c>
      <c r="C6" s="10">
        <f>ROUND(ROUND((C3+C4+2*C5-MIN(C3:C5))/3,2),1)</f>
        <v>0</v>
      </c>
      <c r="D6" s="1"/>
    </row>
    <row r="7" ht="15.75" customHeight="1">
      <c r="A7" s="1"/>
      <c r="B7" s="2"/>
      <c r="C7" s="2"/>
      <c r="D7" s="1"/>
    </row>
    <row r="8" ht="15.75" customHeight="1">
      <c r="A8" s="3"/>
      <c r="B8" s="11" t="s">
        <v>5</v>
      </c>
      <c r="C8" s="5"/>
      <c r="D8" s="1"/>
    </row>
    <row r="9" ht="15.75" customHeight="1">
      <c r="A9" s="3"/>
      <c r="B9" s="12" t="s">
        <v>6</v>
      </c>
      <c r="C9" s="8"/>
      <c r="D9" s="1"/>
    </row>
    <row r="10" ht="15.75" customHeight="1">
      <c r="A10" s="3"/>
      <c r="B10" s="12" t="s">
        <v>7</v>
      </c>
      <c r="C10" s="8"/>
      <c r="D10" s="1"/>
    </row>
    <row r="11" ht="15.75" customHeight="1">
      <c r="A11" s="3"/>
      <c r="B11" s="12" t="s">
        <v>8</v>
      </c>
      <c r="C11" s="8"/>
      <c r="D11" s="1"/>
    </row>
    <row r="12" ht="15.75" customHeight="1">
      <c r="A12" s="3"/>
      <c r="B12" s="13" t="s">
        <v>9</v>
      </c>
      <c r="C12" s="14" t="str">
        <f>ROUND(ROUND(AVERAGE(C9:C11),2),1)</f>
        <v>#DIV/0!</v>
      </c>
      <c r="D12" s="1"/>
    </row>
    <row r="13" ht="15.75" customHeight="1">
      <c r="A13" s="1"/>
      <c r="B13" s="2"/>
      <c r="C13" s="2"/>
      <c r="D13" s="1"/>
    </row>
    <row r="14" ht="15.75" customHeight="1">
      <c r="A14" s="3"/>
      <c r="B14" s="15" t="s">
        <v>10</v>
      </c>
      <c r="C14" s="16"/>
      <c r="D14" s="1"/>
    </row>
    <row r="15" ht="15.75" customHeight="1">
      <c r="A15" s="3"/>
      <c r="B15" s="17" t="s">
        <v>11</v>
      </c>
      <c r="C15" s="8"/>
      <c r="D15" s="1"/>
    </row>
    <row r="16" ht="15.75" customHeight="1">
      <c r="A16" s="3"/>
      <c r="B16" s="17" t="s">
        <v>12</v>
      </c>
      <c r="C16" s="8"/>
      <c r="D16" s="1"/>
    </row>
    <row r="17" ht="15.75" customHeight="1">
      <c r="A17" s="3"/>
      <c r="B17" s="17" t="s">
        <v>13</v>
      </c>
      <c r="C17" s="8"/>
      <c r="D17" s="1"/>
    </row>
    <row r="18" ht="15.75" customHeight="1">
      <c r="A18" s="3"/>
      <c r="B18" s="17" t="s">
        <v>14</v>
      </c>
      <c r="C18" s="8"/>
      <c r="D18" s="1"/>
    </row>
    <row r="19" ht="15.75" customHeight="1">
      <c r="A19" s="1"/>
      <c r="B19" s="17" t="s">
        <v>15</v>
      </c>
      <c r="C19" s="8"/>
      <c r="D19" s="1"/>
    </row>
    <row r="20" ht="15.75" customHeight="1">
      <c r="A20" s="1"/>
      <c r="B20" s="18" t="s">
        <v>16</v>
      </c>
      <c r="C20" s="19">
        <f>ROUND(ROUND(0.15*C15+0.15*C16+0.3*C17+0.2*C18+0.2*C19,2),1)</f>
        <v>0</v>
      </c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20" t="s">
        <v>17</v>
      </c>
      <c r="C22" s="16"/>
      <c r="D22" s="1"/>
    </row>
    <row r="23" ht="15.75" customHeight="1">
      <c r="A23" s="1"/>
      <c r="B23" s="21" t="s">
        <v>18</v>
      </c>
      <c r="C23" s="3" t="str">
        <f>IF(C6&gt;=4,"SI","NO")</f>
        <v>NO</v>
      </c>
      <c r="D23" s="1"/>
    </row>
    <row r="24" ht="15.75" customHeight="1">
      <c r="A24" s="1"/>
      <c r="B24" s="22" t="s">
        <v>19</v>
      </c>
      <c r="C24" s="23" t="str">
        <f>IF(C20&gt;=4,"SI","NO")</f>
        <v>NO</v>
      </c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24" t="s">
        <v>20</v>
      </c>
      <c r="C26" s="25" t="str">
        <f>IF(C23="SI",IF(C24="SI",ROUND(ROUND(0.6*C6+0.15*C12+0.25*C20,2),1),MIN(ROUND(ROUND(0.6*C6+0.15*C12+0.25*C20,2),1),3.9)),MIN(ROUND(ROUND(0.6*C6+0.15*C12+0.25*C20,2),1),3.9))</f>
        <v>#DIV/0!</v>
      </c>
      <c r="D26" s="1"/>
    </row>
    <row r="27" ht="15.75" customHeight="1">
      <c r="A27" s="1"/>
      <c r="B27" s="1"/>
      <c r="C27" s="1"/>
      <c r="D27" s="1"/>
    </row>
    <row r="28" ht="15.75" customHeight="1">
      <c r="B28" s="1"/>
      <c r="C28" s="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C2"/>
    <mergeCell ref="B8:C8"/>
    <mergeCell ref="B14:C14"/>
    <mergeCell ref="B22:C22"/>
  </mergeCells>
  <conditionalFormatting sqref="C23:C24">
    <cfRule type="cellIs" dxfId="0" priority="1" operator="equal">
      <formula>"SI"</formula>
    </cfRule>
  </conditionalFormatting>
  <conditionalFormatting sqref="C23:C24">
    <cfRule type="cellIs" dxfId="1" priority="2" operator="equal">
      <formula>"NO"</formula>
    </cfRule>
  </conditionalFormatting>
  <conditionalFormatting sqref="C26">
    <cfRule type="cellIs" dxfId="0" priority="3" operator="greaterThanOrEqual">
      <formula>3.95</formula>
    </cfRule>
  </conditionalFormatting>
  <conditionalFormatting sqref="C26">
    <cfRule type="cellIs" dxfId="2" priority="4" operator="lessThan">
      <formula>3.95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2024-06-29T18:46:37Z</dcterms:created>
</cp:coreProperties>
</file>