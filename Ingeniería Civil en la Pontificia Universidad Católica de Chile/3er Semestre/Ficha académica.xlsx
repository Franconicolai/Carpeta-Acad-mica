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<sst xmlns="http://schemas.openxmlformats.org/spreadsheetml/2006/main" count="100" uniqueCount="50">
  <si>
    <t>Libro de calificaciones</t>
  </si>
  <si>
    <t>Ramos</t>
  </si>
  <si>
    <t>Promedio</t>
  </si>
  <si>
    <t>Estado</t>
  </si>
  <si>
    <t>Creditos</t>
  </si>
  <si>
    <t>MAT1630 Calculo III</t>
  </si>
  <si>
    <t xml:space="preserve">MAT1640 Ecuaciones Diferenciales </t>
  </si>
  <si>
    <t>ICS113 Optimización</t>
  </si>
  <si>
    <t>EUC4000 Lower Intermediate English II</t>
  </si>
  <si>
    <t xml:space="preserve">FIS1523 Termodinamica </t>
  </si>
  <si>
    <t xml:space="preserve">Promedio general </t>
  </si>
  <si>
    <t>Detalle de calificaciónes</t>
  </si>
  <si>
    <t>Créditos:</t>
  </si>
  <si>
    <t>Prom. Actual</t>
  </si>
  <si>
    <t>Evaluaciónes de catedra</t>
  </si>
  <si>
    <t>%</t>
  </si>
  <si>
    <t>Nota</t>
  </si>
  <si>
    <t>Evaluaciónes de laboratorios</t>
  </si>
  <si>
    <t>I1</t>
  </si>
  <si>
    <t>Laboratorio 1</t>
  </si>
  <si>
    <t>I2</t>
  </si>
  <si>
    <t>Laboratorio 2</t>
  </si>
  <si>
    <t>I3</t>
  </si>
  <si>
    <t>Laboratorio 3</t>
  </si>
  <si>
    <t>Examen</t>
  </si>
  <si>
    <t>Laboratorios</t>
  </si>
  <si>
    <t>Nota evaluaciones &gt; 3.8</t>
  </si>
  <si>
    <t>Nota proyecto</t>
  </si>
  <si>
    <t>Nota final &gt; 4</t>
  </si>
  <si>
    <t>Tareas</t>
  </si>
  <si>
    <t>Tareas 1</t>
  </si>
  <si>
    <t>Tareas 2</t>
  </si>
  <si>
    <t>Tareas 3</t>
  </si>
  <si>
    <t xml:space="preserve">Entrega 1 </t>
  </si>
  <si>
    <t>Entrega 2</t>
  </si>
  <si>
    <t>Entrega 3</t>
  </si>
  <si>
    <t>Entrega 4</t>
  </si>
  <si>
    <t>Entrega 5</t>
  </si>
  <si>
    <t>Midterm oral</t>
  </si>
  <si>
    <t>PopUp activities 1</t>
  </si>
  <si>
    <t>Remote learning</t>
  </si>
  <si>
    <t>PopUp activities 2</t>
  </si>
  <si>
    <t>Written exam</t>
  </si>
  <si>
    <t>PopUp activities 3</t>
  </si>
  <si>
    <t>Writing task</t>
  </si>
  <si>
    <t>Final oral exam</t>
  </si>
  <si>
    <t>PopUp activities</t>
  </si>
  <si>
    <t>Prom. Catedra</t>
  </si>
  <si>
    <t>Laboratorio 4</t>
  </si>
  <si>
    <t>Laboratorio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</si>
</sst>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13">
    <font>
      <sz val="10.0"/>
      <color rgb="FF000000"/>
      <name val="Arial"/>
      <scheme val="minor"/>
    </font>
    <font>
      <b/>
      <sz val="20.0"/>
      <color rgb="FFFFFFFF"/>
      <name val="Calibri"/>
    </font>
    <font/>
    <font>
      <sz val="11.0"/>
      <color rgb="FFFFFFFF"/>
      <name val="Calibri"/>
    </font>
    <font>
      <color rgb="FFFFFFFF"/>
      <name val="Calibri"/>
    </font>
    <font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color rgb="FFFFFFFF"/>
      <name val="Arial"/>
      <scheme val="minor"/>
    </font>
    <font>
      <b/>
      <sz val="15.0"/>
      <color rgb="FFFFFFFF"/>
      <name val="Calibri"/>
    </font>
    <font>
      <b/>
      <color rgb="FFFFFFFF"/>
      <name val="Calibri"/>
    </font>
    <font>
      <b/>
      <sz val="11.0"/>
      <color rgb="FFFFFFFF"/>
      <name val="Calibri"/>
    </font>
    <font>
      <color rgb="FF000000"/>
      <name val="Docs-Calibri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ill="1" applyFont="1">
      <alignment horizontal="center" vertical="bottom"/>
    </xf>
    <xf borderId="8" fillId="0" fontId="2" numFmtId="0" xfId="0" applyBorder="1" applyFont="1"/>
    <xf borderId="9" fillId="0" fontId="2" numFmtId="0" xfId="0" applyBorder="1" applyFont="1"/>
    <xf borderId="10" fillId="2" fontId="4" numFmtId="0" xfId="0" applyAlignment="1" applyBorder="1" applyFill="1" applyFont="1">
      <alignment horizontal="center" vertical="bottom"/>
    </xf>
    <xf borderId="10" fillId="2" fontId="4" numFmtId="0" xfId="0" applyAlignment="1" applyBorder="1" applyFill="1" applyFont="1">
      <alignment horizontal="center" readingOrder="0" vertical="bottom"/>
    </xf>
    <xf borderId="7" fillId="0" fontId="5" numFmtId="0" xfId="0" applyAlignment="1" applyBorder="1" applyFont="1">
      <alignment readingOrder="0" vertical="bottom"/>
    </xf>
    <xf borderId="10" fillId="0" fontId="5" numFmtId="2" xfId="0" applyAlignment="1" applyBorder="1" applyFont="1" applyNumberFormat="1">
      <alignment horizontal="center" readingOrder="0" vertical="bottom"/>
    </xf>
    <xf borderId="10" fillId="0" fontId="6" numFmtId="2" xfId="0" applyAlignment="1" applyBorder="1" applyFont="1" applyNumberFormat="1">
      <alignment horizontal="center"/>
    </xf>
    <xf borderId="10" fillId="0" fontId="5" numFmtId="0" xfId="0" applyAlignment="1" applyBorder="1" applyFont="1">
      <alignment horizontal="center" readingOrder="0" vertical="bottom"/>
    </xf>
    <xf borderId="10" fillId="0" fontId="5" numFmtId="2" xfId="0" applyAlignment="1" applyBorder="1" applyFont="1" applyNumberFormat="1">
      <alignment horizontal="center" vertical="bottom"/>
    </xf>
    <xf borderId="7" fillId="0" fontId="5" numFmtId="0" xfId="0" applyAlignment="1" applyBorder="1" applyFont="1">
      <alignment readingOrder="0" vertical="top"/>
    </xf>
    <xf borderId="7" fillId="0" fontId="7" numFmtId="0" xfId="0" applyAlignment="1" applyBorder="1" applyFont="1">
      <alignment vertical="bottom"/>
    </xf>
    <xf borderId="10" fillId="0" fontId="7" numFmtId="2" xfId="0" applyAlignment="1" applyBorder="1" applyFont="1" applyNumberFormat="1">
      <alignment horizontal="center" vertical="bottom"/>
    </xf>
    <xf borderId="10" fillId="0" fontId="7" numFmtId="0" xfId="0" applyAlignment="1" applyBorder="1" applyFont="1">
      <alignment horizontal="center" vertical="bottom"/>
    </xf>
    <xf borderId="0" fillId="2" fontId="8" numFmtId="0" xfId="0" applyAlignment="1" applyFill="1" applyFont="1">
      <alignment readingOrder="0"/>
    </xf>
    <xf borderId="1" fillId="2" fontId="9" numFmtId="0" xfId="0" applyAlignment="1" applyBorder="1" applyFill="1" applyFont="1">
      <alignment horizontal="left" vertical="center"/>
    </xf>
    <xf borderId="10" fillId="2" fontId="10" numFmtId="0" xfId="0" applyAlignment="1" applyBorder="1" applyFill="1" applyFont="1">
      <alignment vertical="bottom"/>
    </xf>
    <xf borderId="10" fillId="2" fontId="11" numFmtId="0" xfId="0" applyAlignment="1" applyBorder="1" applyFill="1" applyFont="1">
      <alignment vertical="bottom"/>
    </xf>
    <xf borderId="10" fillId="2" fontId="10" numFmtId="2" xfId="0" applyAlignment="1" applyBorder="1" applyFill="1" applyFont="1" applyNumberFormat="1">
      <alignment horizontal="center"/>
    </xf>
    <xf borderId="7" fillId="3" fontId="7" numFmtId="0" xfId="0" applyAlignment="1" applyBorder="1" applyFill="1" applyFont="1">
      <alignment horizontal="center" readingOrder="0" vertical="bottom"/>
    </xf>
    <xf borderId="10" fillId="3" fontId="7" numFmtId="0" xfId="0" applyAlignment="1" applyBorder="1" applyFill="1" applyFont="1">
      <alignment horizontal="center" vertical="bottom"/>
    </xf>
    <xf borderId="7" fillId="4" fontId="5" numFmtId="0" xfId="0" applyAlignment="1" applyBorder="1" applyFill="1" applyFont="1">
      <alignment vertical="bottom"/>
    </xf>
    <xf borderId="10" fillId="4" fontId="5" numFmtId="164" xfId="0" applyAlignment="1" applyBorder="1" applyFill="1" applyFont="1" applyNumberFormat="1">
      <alignment horizontal="center" readingOrder="0" vertical="bottom"/>
    </xf>
    <xf borderId="10" fillId="4" fontId="5" numFmtId="165" xfId="0" applyAlignment="1" applyBorder="1" applyFill="1" applyFont="1" applyNumberFormat="1">
      <alignment horizontal="center" readingOrder="0" vertical="bottom"/>
    </xf>
    <xf borderId="7" fillId="4" fontId="5" numFmtId="0" xfId="0" applyAlignment="1" applyBorder="1" applyFill="1" applyFont="1">
      <alignment readingOrder="0" vertical="bottom"/>
    </xf>
    <xf borderId="10" fillId="4" fontId="5" numFmtId="164" xfId="0" applyAlignment="1" applyBorder="1" applyFill="1" applyFont="1" applyNumberFormat="1">
      <alignment horizontal="center" vertical="bottom"/>
    </xf>
    <xf borderId="0" fillId="0" fontId="7" numFmtId="0" xfId="0" applyAlignment="1" applyFont="1">
      <alignment vertical="bottom"/>
    </xf>
    <xf borderId="0" fillId="0" fontId="9" numFmtId="0" xfId="0" applyAlignment="1" applyFont="1">
      <alignment horizontal="left" vertical="center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10" numFmtId="2" xfId="0" applyAlignment="1" applyFont="1" applyNumberFormat="1">
      <alignment horizontal="center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center" readingOrder="0" vertical="bottom"/>
    </xf>
    <xf borderId="0" fillId="0" fontId="5" numFmtId="165" xfId="0" applyAlignment="1" applyFont="1" applyNumberForma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horizontal="center" vertical="bottom"/>
    </xf>
    <xf borderId="0" fillId="4" fontId="5" numFmtId="0" xfId="0" applyAlignment="1" applyFill="1" applyFont="1">
      <alignment readingOrder="0" vertical="bottom"/>
    </xf>
    <xf borderId="0" fillId="4" fontId="5" numFmtId="164" xfId="0" applyAlignment="1" applyFill="1" applyFont="1" applyNumberFormat="1">
      <alignment horizontal="center" vertical="bottom"/>
    </xf>
    <xf borderId="0" fillId="4" fontId="5" numFmtId="165" xfId="0" applyAlignment="1" applyFill="1" applyFont="1" applyNumberFormat="1">
      <alignment horizontal="center" readingOrder="0" vertical="bottom"/>
    </xf>
    <xf borderId="10" fillId="2" fontId="10" numFmtId="0" xfId="0" applyAlignment="1" applyBorder="1" applyFill="1" applyFont="1">
      <alignment readingOrder="0" vertical="bottom"/>
    </xf>
    <xf borderId="10" fillId="2" fontId="10" numFmtId="2" xfId="0" applyAlignment="1" applyBorder="1" applyFill="1" applyFont="1" applyNumberFormat="1">
      <alignment horizontal="center" vertical="bottom"/>
    </xf>
    <xf borderId="10" fillId="4" fontId="5" numFmtId="0" xfId="0" applyAlignment="1" applyBorder="1" applyFill="1" applyFont="1">
      <alignment horizontal="center" readingOrder="0" vertical="bottom"/>
    </xf>
    <xf borderId="1" fillId="4" fontId="5" numFmtId="0" xfId="0" applyAlignment="1" applyBorder="1" applyFill="1" applyFont="1">
      <alignment readingOrder="0" vertical="bottom"/>
    </xf>
    <xf borderId="11" fillId="0" fontId="2" numFmtId="0" xfId="0" applyBorder="1" applyFont="1"/>
    <xf borderId="12" fillId="0" fontId="2" numFmtId="0" xfId="0" applyBorder="1" applyFont="1"/>
    <xf borderId="10" fillId="2" fontId="3" numFmtId="0" xfId="0" applyAlignment="1" applyBorder="1" applyFill="1" applyFont="1">
      <alignment vertical="bottom"/>
    </xf>
    <xf borderId="0" fillId="5" fontId="9" numFmtId="0" xfId="0" applyAlignment="1" applyFill="1" applyFont="1">
      <alignment horizontal="left" vertical="center"/>
    </xf>
    <xf borderId="0" fillId="5" fontId="10" numFmtId="0" xfId="0" applyAlignment="1" applyFill="1" applyFont="1">
      <alignment vertical="bottom"/>
    </xf>
    <xf borderId="10" fillId="2" fontId="4" numFmtId="4" xfId="0" applyAlignment="1" applyBorder="1" applyFill="1" applyFont="1" applyNumberFormat="1">
      <alignment horizontal="center" readingOrder="0" vertical="bottom"/>
    </xf>
    <xf borderId="10" fillId="4" fontId="5" numFmtId="9" xfId="0" applyAlignment="1" applyBorder="1" applyFill="1" applyFont="1" applyNumberFormat="1">
      <alignment horizontal="center" readingOrder="0" vertical="bottom"/>
    </xf>
    <xf borderId="0" fillId="4" fontId="12" numFmtId="0" xfId="0" applyAlignment="1" applyFill="1" applyFont="1">
      <alignment horizontal="center" readingOrder="0"/>
    </xf>
    <xf borderId="13" fillId="4" fontId="5" numFmtId="165" xfId="0" applyAlignment="1" applyBorder="1" applyFill="1" applyFont="1" applyNumberFormat="1">
      <alignment horizontal="center" readingOrder="0" vertical="bottom"/>
    </xf>
    <xf borderId="2" fillId="4" fontId="5" numFmtId="0" xfId="0" applyAlignment="1" applyBorder="1" applyFill="1" applyFont="1">
      <alignment readingOrder="0" vertical="bottom"/>
    </xf>
    <xf borderId="2" fillId="4" fontId="5" numFmtId="165" xfId="0" applyAlignment="1" applyBorder="1" applyFill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6" width="16.38"/>
    <col customWidth="1" min="7" max="7" width="17.63"/>
    <col customWidth="1" min="8" max="9" width="16.38"/>
  </cols>
  <sheetData>
    <row r="2">
      <c r="B2" s="1" t="s">
        <v>0</v>
      </c>
      <c r="C2" s="2"/>
      <c r="D2" s="2"/>
      <c r="E2" s="2"/>
      <c r="F2" s="2"/>
      <c r="G2" s="2"/>
      <c r="H2" s="2"/>
      <c r="I2" s="3"/>
    </row>
    <row r="3">
      <c r="B3" s="4"/>
      <c r="C3" s="5"/>
      <c r="D3" s="5"/>
      <c r="E3" s="5"/>
      <c r="F3" s="5"/>
      <c r="G3" s="5"/>
      <c r="H3" s="5"/>
      <c r="I3" s="6"/>
    </row>
    <row r="4">
      <c r="B4" s="7" t="s">
        <v>1</v>
      </c>
      <c r="C4" s="8"/>
      <c r="D4" s="8"/>
      <c r="E4" s="8"/>
      <c r="F4" s="9"/>
      <c r="G4" s="10" t="s">
        <v>2</v>
      </c>
      <c r="H4" s="11" t="s">
        <v>3</v>
      </c>
      <c r="I4" s="10" t="s">
        <v>4</v>
      </c>
    </row>
    <row r="5">
      <c r="B5" s="12" t="s">
        <v>5</v>
      </c>
      <c r="C5" s="8"/>
      <c r="D5" s="8"/>
      <c r="E5" s="8"/>
      <c r="F5" s="9"/>
      <c r="G5" s="13">
        <f>I15</f>
        <v>48</v>
      </c>
      <c r="H5" s="14" t="str">
        <f t="shared" ref="H5:H10" si="1">IF(G5&gt;=4,"Aprobado","Matraca")</f>
        <v>Aprobado</v>
      </c>
      <c r="I5" s="15">
        <v>10.0</v>
      </c>
    </row>
    <row r="6">
      <c r="B6" s="12" t="s">
        <v>6</v>
      </c>
      <c r="C6" s="8"/>
      <c r="D6" s="8"/>
      <c r="E6" s="8"/>
      <c r="F6" s="9"/>
      <c r="G6" s="16">
        <f>I24</f>
        <v>44</v>
      </c>
      <c r="H6" s="14" t="str">
        <f t="shared" si="1"/>
        <v>Aprobado</v>
      </c>
      <c r="I6" s="15">
        <v>10.0</v>
      </c>
    </row>
    <row r="7">
      <c r="B7" s="12" t="s">
        <v>7</v>
      </c>
      <c r="C7" s="8"/>
      <c r="D7" s="8"/>
      <c r="E7" s="8"/>
      <c r="F7" s="9"/>
      <c r="G7" s="16">
        <f>I33</f>
        <v>51.695</v>
      </c>
      <c r="H7" s="14" t="str">
        <f t="shared" si="1"/>
        <v>Aprobado</v>
      </c>
      <c r="I7" s="15">
        <v>10.0</v>
      </c>
    </row>
    <row r="8">
      <c r="B8" s="17" t="s">
        <v>8</v>
      </c>
      <c r="C8" s="8"/>
      <c r="D8" s="8"/>
      <c r="E8" s="8"/>
      <c r="F8" s="9"/>
      <c r="G8" s="16">
        <f>I45</f>
        <v>61</v>
      </c>
      <c r="H8" s="14" t="str">
        <f t="shared" si="1"/>
        <v>Aprobado</v>
      </c>
      <c r="I8" s="15">
        <v>5.0</v>
      </c>
    </row>
    <row r="9">
      <c r="B9" s="12" t="s">
        <v>9</v>
      </c>
      <c r="C9" s="8"/>
      <c r="D9" s="8"/>
      <c r="E9" s="8"/>
      <c r="F9" s="9"/>
      <c r="G9" s="16">
        <f>I55</f>
        <v>52</v>
      </c>
      <c r="H9" s="14" t="str">
        <f t="shared" si="1"/>
        <v>Aprobado</v>
      </c>
      <c r="I9" s="15">
        <v>10.0</v>
      </c>
    </row>
    <row r="10">
      <c r="B10" s="18" t="s">
        <v>10</v>
      </c>
      <c r="C10" s="8"/>
      <c r="D10" s="8"/>
      <c r="E10" s="8"/>
      <c r="F10" s="9"/>
      <c r="G10" s="19">
        <f>AVERAGE(G5:G9)</f>
        <v>51.339</v>
      </c>
      <c r="H10" s="14" t="str">
        <f t="shared" si="1"/>
        <v>Aprobado</v>
      </c>
      <c r="I10" s="20">
        <f>SUM(I5:I9)</f>
        <v>45</v>
      </c>
    </row>
    <row r="12">
      <c r="B12" s="21" t="s">
        <v>11</v>
      </c>
    </row>
    <row r="14">
      <c r="B14" s="22" t="str">
        <f>B5</f>
        <v>MAT1630 Calculo III</v>
      </c>
      <c r="C14" s="2"/>
      <c r="D14" s="2"/>
      <c r="E14" s="2"/>
      <c r="F14" s="2"/>
      <c r="G14" s="3"/>
      <c r="H14" s="23" t="s">
        <v>12</v>
      </c>
      <c r="I14" s="24" t="s">
        <v>13</v>
      </c>
    </row>
    <row r="15">
      <c r="B15" s="4"/>
      <c r="C15" s="5"/>
      <c r="D15" s="5"/>
      <c r="E15" s="5"/>
      <c r="F15" s="5"/>
      <c r="G15" s="6"/>
      <c r="H15" s="10">
        <f>I5</f>
        <v>10</v>
      </c>
      <c r="I15" s="25">
        <f>IFERROR(ROUND(SUMPRODUCT(D17:D21,E17:E21)/(SUMIF(E17:E21,"&gt;0",D17:D21)),0),"")</f>
        <v>48</v>
      </c>
    </row>
    <row r="16">
      <c r="B16" s="26" t="s">
        <v>14</v>
      </c>
      <c r="C16" s="8"/>
      <c r="D16" s="27" t="s">
        <v>15</v>
      </c>
      <c r="E16" s="27" t="s">
        <v>16</v>
      </c>
      <c r="F16" s="26" t="s">
        <v>17</v>
      </c>
      <c r="G16" s="8"/>
      <c r="H16" s="27" t="s">
        <v>15</v>
      </c>
      <c r="I16" s="27" t="s">
        <v>16</v>
      </c>
    </row>
    <row r="17">
      <c r="B17" s="28" t="s">
        <v>18</v>
      </c>
      <c r="C17" s="8"/>
      <c r="D17" s="29">
        <v>0.2</v>
      </c>
      <c r="E17" s="30">
        <v>34.0</v>
      </c>
      <c r="F17" s="31" t="s">
        <v>19</v>
      </c>
      <c r="G17" s="8"/>
      <c r="H17" s="9"/>
      <c r="I17" s="30">
        <v>70.0</v>
      </c>
    </row>
    <row r="18">
      <c r="B18" s="28" t="s">
        <v>20</v>
      </c>
      <c r="C18" s="8"/>
      <c r="D18" s="29">
        <v>0.2</v>
      </c>
      <c r="E18" s="30">
        <v>43.0</v>
      </c>
      <c r="F18" s="31" t="s">
        <v>21</v>
      </c>
      <c r="G18" s="8"/>
      <c r="H18" s="9"/>
      <c r="I18" s="30">
        <v>64.0</v>
      </c>
    </row>
    <row r="19">
      <c r="B19" s="28" t="s">
        <v>22</v>
      </c>
      <c r="C19" s="8"/>
      <c r="D19" s="29">
        <v>0.2</v>
      </c>
      <c r="E19" s="30">
        <v>41.0</v>
      </c>
      <c r="F19" s="31" t="s">
        <v>23</v>
      </c>
      <c r="G19" s="8"/>
      <c r="H19" s="9"/>
      <c r="I19" s="30">
        <v>70.0</v>
      </c>
    </row>
    <row r="20">
      <c r="B20" s="28" t="s">
        <v>24</v>
      </c>
      <c r="C20" s="8"/>
      <c r="D20" s="32">
        <v>0.3</v>
      </c>
      <c r="E20" s="30">
        <v>57.0</v>
      </c>
    </row>
    <row r="21">
      <c r="B21" s="31" t="s">
        <v>25</v>
      </c>
      <c r="C21" s="8"/>
      <c r="D21" s="32">
        <v>0.1</v>
      </c>
      <c r="E21" s="30">
        <f>AVERAGE(I17:I19)</f>
        <v>68</v>
      </c>
    </row>
    <row r="22">
      <c r="F22" s="33"/>
    </row>
    <row r="23">
      <c r="B23" s="22" t="str">
        <f>B6</f>
        <v>MAT1640 Ecuaciones Diferenciales </v>
      </c>
      <c r="C23" s="2"/>
      <c r="D23" s="2"/>
      <c r="E23" s="2"/>
      <c r="F23" s="2"/>
      <c r="G23" s="3"/>
      <c r="H23" s="23" t="s">
        <v>12</v>
      </c>
      <c r="I23" s="24" t="s">
        <v>13</v>
      </c>
      <c r="K23" s="34"/>
      <c r="Q23" s="35"/>
      <c r="R23" s="36"/>
    </row>
    <row r="24">
      <c r="B24" s="4"/>
      <c r="C24" s="5"/>
      <c r="D24" s="5"/>
      <c r="E24" s="5"/>
      <c r="F24" s="5"/>
      <c r="G24" s="6"/>
      <c r="H24" s="10">
        <f>I6</f>
        <v>10</v>
      </c>
      <c r="I24" s="25">
        <f>IFERROR(ROUND(SUMPRODUCT(D26:D30,E26:E30)/(SUMIF(E26:E30,"&gt;0",D26:D30)),0),"")</f>
        <v>44</v>
      </c>
      <c r="Q24" s="37"/>
      <c r="R24" s="38"/>
    </row>
    <row r="25">
      <c r="B25" s="26" t="s">
        <v>14</v>
      </c>
      <c r="C25" s="8"/>
      <c r="D25" s="27" t="s">
        <v>15</v>
      </c>
      <c r="E25" s="27" t="s">
        <v>16</v>
      </c>
      <c r="F25" s="26" t="s">
        <v>17</v>
      </c>
      <c r="G25" s="8"/>
      <c r="H25" s="27" t="s">
        <v>15</v>
      </c>
      <c r="I25" s="27" t="s">
        <v>16</v>
      </c>
      <c r="K25" s="39"/>
      <c r="M25" s="40"/>
      <c r="N25" s="40"/>
      <c r="O25" s="39"/>
      <c r="Q25" s="40"/>
      <c r="R25" s="40"/>
    </row>
    <row r="26">
      <c r="B26" s="28" t="s">
        <v>18</v>
      </c>
      <c r="C26" s="8"/>
      <c r="D26" s="29">
        <v>0.2</v>
      </c>
      <c r="E26" s="30">
        <v>49.0</v>
      </c>
      <c r="F26" s="31" t="s">
        <v>19</v>
      </c>
      <c r="G26" s="8"/>
      <c r="H26" s="9"/>
      <c r="I26" s="30">
        <v>52.0</v>
      </c>
      <c r="K26" s="41"/>
      <c r="M26" s="42"/>
      <c r="N26" s="43"/>
      <c r="O26" s="44"/>
      <c r="R26" s="43"/>
    </row>
    <row r="27">
      <c r="B27" s="28" t="s">
        <v>20</v>
      </c>
      <c r="C27" s="8"/>
      <c r="D27" s="29">
        <v>0.2</v>
      </c>
      <c r="E27" s="30">
        <v>49.0</v>
      </c>
      <c r="F27" s="31" t="s">
        <v>21</v>
      </c>
      <c r="G27" s="8"/>
      <c r="H27" s="9"/>
      <c r="I27" s="30">
        <v>70.0</v>
      </c>
      <c r="K27" s="41"/>
      <c r="M27" s="42"/>
      <c r="N27" s="43"/>
      <c r="O27" s="44"/>
      <c r="R27" s="43"/>
    </row>
    <row r="28">
      <c r="B28" s="28" t="s">
        <v>22</v>
      </c>
      <c r="C28" s="8"/>
      <c r="D28" s="29">
        <v>0.2</v>
      </c>
      <c r="E28" s="30">
        <v>39.0</v>
      </c>
      <c r="F28" s="31" t="s">
        <v>23</v>
      </c>
      <c r="G28" s="8"/>
      <c r="H28" s="9"/>
      <c r="I28" s="30">
        <v>70.0</v>
      </c>
      <c r="K28" s="41"/>
      <c r="M28" s="42"/>
      <c r="N28" s="43"/>
      <c r="O28" s="44"/>
      <c r="R28" s="43"/>
    </row>
    <row r="29">
      <c r="B29" s="28" t="s">
        <v>24</v>
      </c>
      <c r="C29" s="8"/>
      <c r="D29" s="32">
        <v>0.3</v>
      </c>
      <c r="E29" s="30">
        <v>35.0</v>
      </c>
      <c r="K29" s="41"/>
      <c r="M29" s="45"/>
      <c r="N29" s="43"/>
    </row>
    <row r="30">
      <c r="B30" s="31" t="s">
        <v>25</v>
      </c>
      <c r="C30" s="8"/>
      <c r="D30" s="32">
        <v>0.1</v>
      </c>
      <c r="E30" s="30">
        <f>AVERAGE(I26:I29)</f>
        <v>64</v>
      </c>
      <c r="K30" s="44"/>
      <c r="M30" s="45"/>
      <c r="N30" s="43"/>
    </row>
    <row r="31">
      <c r="B31" s="46"/>
      <c r="C31" s="46"/>
      <c r="D31" s="47"/>
      <c r="E31" s="48"/>
      <c r="F31" s="46"/>
      <c r="G31" s="46"/>
      <c r="H31" s="46"/>
      <c r="I31" s="46"/>
    </row>
    <row r="32">
      <c r="B32" s="22" t="str">
        <f>B7</f>
        <v>ICS113 Optimización</v>
      </c>
      <c r="C32" s="2"/>
      <c r="D32" s="2"/>
      <c r="E32" s="2"/>
      <c r="F32" s="23" t="s">
        <v>12</v>
      </c>
      <c r="G32" s="49" t="s">
        <v>26</v>
      </c>
      <c r="H32" s="49" t="s">
        <v>27</v>
      </c>
      <c r="I32" s="49" t="s">
        <v>28</v>
      </c>
    </row>
    <row r="33">
      <c r="B33" s="4"/>
      <c r="C33" s="5"/>
      <c r="D33" s="5"/>
      <c r="E33" s="5"/>
      <c r="F33" s="10">
        <f>I7</f>
        <v>10</v>
      </c>
      <c r="G33" s="50">
        <f>(E35+E36+2*E37-min(E35,E36,E37))/3</f>
        <v>42.86666667</v>
      </c>
      <c r="H33" s="25">
        <f>IFERROR(ROUND(SUMPRODUCT(H38:H42,I38:I42)/(SUMIF(I38:I42,"&gt;0",H38:H42)),0),"")</f>
        <v>68</v>
      </c>
      <c r="I33" s="25">
        <f>(0.6*G33+0.25*H33+0.15*E38)</f>
        <v>51.695</v>
      </c>
    </row>
    <row r="34">
      <c r="B34" s="26" t="s">
        <v>14</v>
      </c>
      <c r="C34" s="8"/>
      <c r="D34" s="27" t="s">
        <v>15</v>
      </c>
      <c r="E34" s="27" t="s">
        <v>16</v>
      </c>
      <c r="F34" s="26" t="s">
        <v>29</v>
      </c>
      <c r="G34" s="8"/>
      <c r="H34" s="27" t="s">
        <v>15</v>
      </c>
      <c r="I34" s="27" t="s">
        <v>16</v>
      </c>
    </row>
    <row r="35">
      <c r="B35" s="28" t="s">
        <v>18</v>
      </c>
      <c r="C35" s="8"/>
      <c r="D35" s="9"/>
      <c r="E35" s="30">
        <v>32.0</v>
      </c>
      <c r="F35" s="31" t="s">
        <v>30</v>
      </c>
      <c r="G35" s="8"/>
      <c r="H35" s="9"/>
      <c r="I35" s="30">
        <v>50.5</v>
      </c>
    </row>
    <row r="36">
      <c r="B36" s="28" t="s">
        <v>20</v>
      </c>
      <c r="C36" s="8"/>
      <c r="D36" s="9"/>
      <c r="E36" s="30">
        <v>42.0</v>
      </c>
      <c r="F36" s="31" t="s">
        <v>31</v>
      </c>
      <c r="G36" s="8"/>
      <c r="H36" s="9"/>
      <c r="I36" s="30">
        <v>59.0</v>
      </c>
    </row>
    <row r="37">
      <c r="B37" s="28" t="s">
        <v>24</v>
      </c>
      <c r="C37" s="8"/>
      <c r="D37" s="9"/>
      <c r="E37" s="30">
        <v>43.3</v>
      </c>
      <c r="F37" s="31" t="s">
        <v>32</v>
      </c>
      <c r="G37" s="8"/>
      <c r="H37" s="9"/>
      <c r="I37" s="30">
        <v>70.0</v>
      </c>
    </row>
    <row r="38">
      <c r="B38" s="31" t="s">
        <v>29</v>
      </c>
      <c r="C38" s="8"/>
      <c r="D38" s="9"/>
      <c r="E38" s="30">
        <f>AVERAGE(I35:I37)</f>
        <v>59.83333333</v>
      </c>
      <c r="F38" s="31" t="s">
        <v>33</v>
      </c>
      <c r="G38" s="8"/>
      <c r="H38" s="29">
        <v>0.15</v>
      </c>
      <c r="I38" s="51">
        <v>68.6</v>
      </c>
    </row>
    <row r="39">
      <c r="F39" s="31" t="s">
        <v>34</v>
      </c>
      <c r="G39" s="8"/>
      <c r="H39" s="29">
        <v>0.15</v>
      </c>
      <c r="I39" s="51">
        <v>68.2</v>
      </c>
    </row>
    <row r="40">
      <c r="D40" s="48"/>
      <c r="F40" s="31" t="s">
        <v>35</v>
      </c>
      <c r="G40" s="8"/>
      <c r="H40" s="29">
        <v>0.3</v>
      </c>
      <c r="I40" s="51">
        <v>68.8</v>
      </c>
    </row>
    <row r="41">
      <c r="D41" s="48"/>
      <c r="F41" s="31" t="s">
        <v>36</v>
      </c>
      <c r="G41" s="8"/>
      <c r="H41" s="29">
        <v>0.2</v>
      </c>
      <c r="I41" s="51">
        <v>66.4</v>
      </c>
    </row>
    <row r="42">
      <c r="F42" s="31" t="s">
        <v>37</v>
      </c>
      <c r="G42" s="8"/>
      <c r="H42" s="29">
        <v>0.2</v>
      </c>
      <c r="I42" s="51">
        <v>66.4</v>
      </c>
    </row>
    <row r="44">
      <c r="B44" s="22" t="str">
        <f>B8</f>
        <v>EUC4000 Lower Intermediate English II</v>
      </c>
      <c r="C44" s="2"/>
      <c r="D44" s="2"/>
      <c r="E44" s="2"/>
      <c r="F44" s="2"/>
      <c r="G44" s="3"/>
      <c r="H44" s="23" t="s">
        <v>12</v>
      </c>
      <c r="I44" s="24" t="s">
        <v>13</v>
      </c>
    </row>
    <row r="45">
      <c r="B45" s="4"/>
      <c r="C45" s="5"/>
      <c r="D45" s="5"/>
      <c r="E45" s="5"/>
      <c r="F45" s="5"/>
      <c r="G45" s="6"/>
      <c r="H45" s="10">
        <f>I8</f>
        <v>5</v>
      </c>
      <c r="I45" s="25">
        <f>IFERROR(ROUND(SUMPRODUCT(D47:D52,E47:E52)/(SUMIF(E47:E52,"&gt;0",D47:D52)),0),"")</f>
        <v>61</v>
      </c>
    </row>
    <row r="46">
      <c r="B46" s="26" t="s">
        <v>14</v>
      </c>
      <c r="C46" s="8"/>
      <c r="D46" s="27" t="s">
        <v>15</v>
      </c>
      <c r="E46" s="27" t="s">
        <v>16</v>
      </c>
      <c r="F46" s="26" t="s">
        <v>29</v>
      </c>
      <c r="G46" s="8"/>
      <c r="H46" s="27" t="s">
        <v>15</v>
      </c>
      <c r="I46" s="27" t="s">
        <v>16</v>
      </c>
    </row>
    <row r="47">
      <c r="B47" s="31" t="s">
        <v>38</v>
      </c>
      <c r="C47" s="8"/>
      <c r="D47" s="29">
        <v>0.15</v>
      </c>
      <c r="E47" s="30">
        <v>55.0</v>
      </c>
      <c r="F47" s="31" t="s">
        <v>39</v>
      </c>
      <c r="G47" s="8"/>
      <c r="H47" s="29">
        <v>0.0</v>
      </c>
      <c r="I47" s="30">
        <v>70.0</v>
      </c>
    </row>
    <row r="48">
      <c r="B48" s="31" t="s">
        <v>40</v>
      </c>
      <c r="C48" s="8"/>
      <c r="D48" s="29">
        <v>0.05</v>
      </c>
      <c r="E48" s="30">
        <v>64.0</v>
      </c>
      <c r="F48" s="31" t="s">
        <v>41</v>
      </c>
      <c r="G48" s="8"/>
      <c r="H48" s="29">
        <v>0.0</v>
      </c>
      <c r="I48" s="30">
        <v>70.0</v>
      </c>
    </row>
    <row r="49">
      <c r="B49" s="31" t="s">
        <v>42</v>
      </c>
      <c r="C49" s="8"/>
      <c r="D49" s="29">
        <v>0.3</v>
      </c>
      <c r="E49" s="30">
        <v>55.0</v>
      </c>
      <c r="F49" s="31" t="s">
        <v>43</v>
      </c>
      <c r="G49" s="8"/>
      <c r="H49" s="29">
        <v>0.0</v>
      </c>
      <c r="I49" s="30">
        <v>70.0</v>
      </c>
    </row>
    <row r="50">
      <c r="B50" s="31" t="s">
        <v>44</v>
      </c>
      <c r="C50" s="8"/>
      <c r="D50" s="29">
        <v>0.05</v>
      </c>
      <c r="E50" s="30">
        <v>70.0</v>
      </c>
      <c r="F50" s="52"/>
      <c r="G50" s="2"/>
      <c r="H50" s="2"/>
      <c r="I50" s="3"/>
    </row>
    <row r="51">
      <c r="B51" s="31" t="s">
        <v>45</v>
      </c>
      <c r="C51" s="8"/>
      <c r="D51" s="29">
        <v>0.4</v>
      </c>
      <c r="E51" s="30">
        <v>64.0</v>
      </c>
      <c r="F51" s="53"/>
      <c r="I51" s="54"/>
    </row>
    <row r="52">
      <c r="B52" s="31" t="s">
        <v>46</v>
      </c>
      <c r="C52" s="8"/>
      <c r="D52" s="29">
        <v>0.05</v>
      </c>
      <c r="E52" s="30">
        <v>70.0</v>
      </c>
      <c r="F52" s="4"/>
      <c r="G52" s="5"/>
      <c r="H52" s="5"/>
      <c r="I52" s="6"/>
    </row>
    <row r="54">
      <c r="B54" s="22" t="str">
        <f>B9</f>
        <v>FIS1523 Termodinamica </v>
      </c>
      <c r="C54" s="2"/>
      <c r="D54" s="2"/>
      <c r="E54" s="2"/>
      <c r="F54" s="2"/>
      <c r="G54" s="23" t="s">
        <v>12</v>
      </c>
      <c r="H54" s="49" t="s">
        <v>47</v>
      </c>
      <c r="I54" s="55" t="s">
        <v>13</v>
      </c>
      <c r="K54" s="56" t="str">
        <f>K9</f>
        <v/>
      </c>
      <c r="P54" s="57"/>
      <c r="Q54" s="57"/>
      <c r="R54" s="57"/>
    </row>
    <row r="55">
      <c r="B55" s="4"/>
      <c r="C55" s="5"/>
      <c r="D55" s="5"/>
      <c r="E55" s="5"/>
      <c r="F55" s="5"/>
      <c r="G55" s="10">
        <f>I9</f>
        <v>10</v>
      </c>
      <c r="H55" s="58">
        <v>46.0</v>
      </c>
      <c r="I55" s="25">
        <f>0.7*H55+0.3*66</f>
        <v>52</v>
      </c>
      <c r="P55" s="57"/>
      <c r="Q55" s="57"/>
      <c r="R55" s="57"/>
    </row>
    <row r="56">
      <c r="B56" s="26" t="s">
        <v>14</v>
      </c>
      <c r="C56" s="8"/>
      <c r="D56" s="27" t="s">
        <v>15</v>
      </c>
      <c r="E56" s="27" t="s">
        <v>16</v>
      </c>
      <c r="F56" s="26" t="s">
        <v>17</v>
      </c>
      <c r="G56" s="8"/>
      <c r="H56" s="27" t="s">
        <v>15</v>
      </c>
      <c r="I56" s="27" t="s">
        <v>16</v>
      </c>
      <c r="K56" s="56" t="str">
        <f>K11</f>
        <v/>
      </c>
      <c r="P56" s="57"/>
      <c r="Q56" s="57"/>
      <c r="R56" s="57"/>
    </row>
    <row r="57">
      <c r="B57" s="28" t="s">
        <v>18</v>
      </c>
      <c r="C57" s="9"/>
      <c r="D57" s="59">
        <v>0.3</v>
      </c>
      <c r="E57" s="60">
        <v>32.5</v>
      </c>
      <c r="F57" s="31" t="s">
        <v>19</v>
      </c>
      <c r="G57" s="8"/>
      <c r="H57" s="9"/>
      <c r="I57" s="30">
        <v>62.5</v>
      </c>
      <c r="P57" s="57"/>
      <c r="Q57" s="57"/>
      <c r="R57" s="57"/>
    </row>
    <row r="58">
      <c r="B58" s="28" t="s">
        <v>20</v>
      </c>
      <c r="C58" s="9"/>
      <c r="D58" s="59">
        <v>0.3</v>
      </c>
      <c r="E58" s="30">
        <v>55.3</v>
      </c>
      <c r="F58" s="31" t="s">
        <v>21</v>
      </c>
      <c r="G58" s="8"/>
      <c r="H58" s="9"/>
      <c r="I58" s="30">
        <v>68.0</v>
      </c>
      <c r="K58" s="56" t="str">
        <f>K13</f>
        <v/>
      </c>
      <c r="P58" s="57"/>
      <c r="Q58" s="57"/>
      <c r="R58" s="57"/>
    </row>
    <row r="59">
      <c r="B59" s="28" t="s">
        <v>24</v>
      </c>
      <c r="C59" s="9"/>
      <c r="D59" s="59">
        <v>0.4</v>
      </c>
      <c r="E59" s="30">
        <v>48.8</v>
      </c>
      <c r="F59" s="31" t="s">
        <v>23</v>
      </c>
      <c r="G59" s="8"/>
      <c r="H59" s="9"/>
      <c r="I59" s="30">
        <v>70.0</v>
      </c>
      <c r="P59" s="57"/>
      <c r="Q59" s="57"/>
      <c r="R59" s="57"/>
    </row>
    <row r="60">
      <c r="B60" s="46"/>
      <c r="D60" s="47"/>
      <c r="E60" s="48"/>
      <c r="F60" s="31" t="s">
        <v>48</v>
      </c>
      <c r="G60" s="8"/>
      <c r="H60" s="9"/>
      <c r="I60" s="30">
        <v>69.5</v>
      </c>
      <c r="K60" s="56" t="str">
        <f>K15</f>
        <v/>
      </c>
      <c r="P60" s="57"/>
      <c r="Q60" s="57"/>
      <c r="R60" s="57"/>
    </row>
    <row r="61">
      <c r="C61" s="48"/>
      <c r="D61" s="48"/>
      <c r="F61" s="52" t="s">
        <v>49</v>
      </c>
      <c r="G61" s="2"/>
      <c r="H61" s="3"/>
      <c r="I61" s="61">
        <v>68.4</v>
      </c>
      <c r="P61" s="57"/>
      <c r="Q61" s="57"/>
      <c r="R61" s="57"/>
    </row>
    <row r="62">
      <c r="C62" s="48"/>
      <c r="D62" s="48"/>
      <c r="E62" s="60"/>
      <c r="F62" s="62"/>
      <c r="G62" s="2"/>
      <c r="H62" s="2"/>
      <c r="I62" s="63"/>
    </row>
    <row r="63">
      <c r="D63" s="48"/>
      <c r="F63" s="46"/>
      <c r="I63" s="48"/>
    </row>
    <row r="64">
      <c r="D64" s="48"/>
    </row>
  </sheetData>
  <mergeCells count="93">
    <mergeCell ref="B34:C34"/>
    <mergeCell ref="F34:G34"/>
    <mergeCell ref="B35:D35"/>
    <mergeCell ref="F35:H35"/>
    <mergeCell ref="B36:D36"/>
    <mergeCell ref="F36:H36"/>
    <mergeCell ref="F37:H37"/>
    <mergeCell ref="B37:D37"/>
    <mergeCell ref="B38:D38"/>
    <mergeCell ref="F38:G38"/>
    <mergeCell ref="F39:G39"/>
    <mergeCell ref="F40:G40"/>
    <mergeCell ref="F41:G41"/>
    <mergeCell ref="F42:G42"/>
    <mergeCell ref="F48:G48"/>
    <mergeCell ref="F49:G49"/>
    <mergeCell ref="F50:I52"/>
    <mergeCell ref="B44:G45"/>
    <mergeCell ref="B46:C46"/>
    <mergeCell ref="F46:G46"/>
    <mergeCell ref="B47:C47"/>
    <mergeCell ref="F47:G47"/>
    <mergeCell ref="B48:C48"/>
    <mergeCell ref="B49:C49"/>
    <mergeCell ref="B56:C56"/>
    <mergeCell ref="B57:C57"/>
    <mergeCell ref="B58:C58"/>
    <mergeCell ref="B59:C59"/>
    <mergeCell ref="B60:C60"/>
    <mergeCell ref="B50:C50"/>
    <mergeCell ref="B51:C51"/>
    <mergeCell ref="B52:C52"/>
    <mergeCell ref="B54:F55"/>
    <mergeCell ref="K54:O55"/>
    <mergeCell ref="F56:G56"/>
    <mergeCell ref="K56:O57"/>
    <mergeCell ref="F62:H62"/>
    <mergeCell ref="F63:H63"/>
    <mergeCell ref="F64:H64"/>
    <mergeCell ref="F65:H65"/>
    <mergeCell ref="F66:H66"/>
    <mergeCell ref="F67:H67"/>
    <mergeCell ref="F68:H68"/>
    <mergeCell ref="F57:H57"/>
    <mergeCell ref="F58:H58"/>
    <mergeCell ref="K58:O59"/>
    <mergeCell ref="F59:H59"/>
    <mergeCell ref="F60:H60"/>
    <mergeCell ref="K60:O61"/>
    <mergeCell ref="F61:H61"/>
    <mergeCell ref="B2:I3"/>
    <mergeCell ref="B4:F4"/>
    <mergeCell ref="B5:F5"/>
    <mergeCell ref="B6:F6"/>
    <mergeCell ref="B7:F7"/>
    <mergeCell ref="B8:F8"/>
    <mergeCell ref="B9:F9"/>
    <mergeCell ref="F17:H17"/>
    <mergeCell ref="F18:H18"/>
    <mergeCell ref="B10:F10"/>
    <mergeCell ref="B12:I12"/>
    <mergeCell ref="B14:G15"/>
    <mergeCell ref="B16:C16"/>
    <mergeCell ref="F16:G16"/>
    <mergeCell ref="B17:C17"/>
    <mergeCell ref="B18:C18"/>
    <mergeCell ref="B19:C19"/>
    <mergeCell ref="F19:H19"/>
    <mergeCell ref="B20:C20"/>
    <mergeCell ref="B21:C21"/>
    <mergeCell ref="B23:G24"/>
    <mergeCell ref="K23:P24"/>
    <mergeCell ref="O25:P25"/>
    <mergeCell ref="F27:H27"/>
    <mergeCell ref="F28:H28"/>
    <mergeCell ref="K28:L28"/>
    <mergeCell ref="O28:Q28"/>
    <mergeCell ref="K29:L29"/>
    <mergeCell ref="K30:L30"/>
    <mergeCell ref="F25:G25"/>
    <mergeCell ref="K25:L25"/>
    <mergeCell ref="F26:H26"/>
    <mergeCell ref="K26:L26"/>
    <mergeCell ref="O26:Q26"/>
    <mergeCell ref="K27:L27"/>
    <mergeCell ref="O27:Q27"/>
    <mergeCell ref="B25:C25"/>
    <mergeCell ref="B26:C26"/>
    <mergeCell ref="B27:C27"/>
    <mergeCell ref="B28:C28"/>
    <mergeCell ref="B29:C29"/>
    <mergeCell ref="B30:C30"/>
    <mergeCell ref="B32:E33"/>
  </mergeCells>
  <drawing r:id="rId1"/>
</worksheet>
</file>