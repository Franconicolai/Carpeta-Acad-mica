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académica" sheetId="1" r:id="rId5"/>
  </sheets>
  <definedNames/>
  <calcPr/>
</workbook>
</file>

<file path=xl/sharedStrings.xml><?xml version="1.0" encoding="utf-8"?>
<sst xmlns="http://schemas.openxmlformats.org/spreadsheetml/2006/main" count="102" uniqueCount="68">
  <si>
    <t>Libro de calificaciones</t>
  </si>
  <si>
    <t>Ramos</t>
  </si>
  <si>
    <t>Promedio</t>
  </si>
  <si>
    <t>Estado</t>
  </si>
  <si>
    <t>Creditos</t>
  </si>
  <si>
    <t>ICS2563 Econometría Aplicada</t>
  </si>
  <si>
    <t>ICS2121 Métodos de Optimización</t>
  </si>
  <si>
    <t>IIC2413 Bases de Datos</t>
  </si>
  <si>
    <t xml:space="preserve">ETI188 Ética para Ingeniería </t>
  </si>
  <si>
    <t>EUC6000 Upper Intermediate English II</t>
  </si>
  <si>
    <t xml:space="preserve">Promedio general </t>
  </si>
  <si>
    <t>Detalle de calificaciónes</t>
  </si>
  <si>
    <t>Créditos:</t>
  </si>
  <si>
    <t>Nota eva. &gt; 3.7</t>
  </si>
  <si>
    <t>Nota final &gt;= 3.95</t>
  </si>
  <si>
    <t>Evaluaciónes de catedra</t>
  </si>
  <si>
    <t>Ponderación</t>
  </si>
  <si>
    <t>Notas</t>
  </si>
  <si>
    <t>Tareas</t>
  </si>
  <si>
    <t>I1</t>
  </si>
  <si>
    <t>Tarea 1</t>
  </si>
  <si>
    <t>I2</t>
  </si>
  <si>
    <t>Tarea 2</t>
  </si>
  <si>
    <t>Examen</t>
  </si>
  <si>
    <t>Tarea 3</t>
  </si>
  <si>
    <t>Tareas  &gt; 3.7</t>
  </si>
  <si>
    <t>Tarea 4</t>
  </si>
  <si>
    <t>Nota pruebas &gt;= 4.0</t>
  </si>
  <si>
    <t>Nota tareas &gt;=4.0</t>
  </si>
  <si>
    <t>Nota final &gt;= 4.0</t>
  </si>
  <si>
    <t>Nota ies  &gt;= 3.9</t>
  </si>
  <si>
    <t>Nota proyecto (P) &gt;= 3.9</t>
  </si>
  <si>
    <t>Nota P &gt;= 5.3</t>
  </si>
  <si>
    <t>Proyecto</t>
  </si>
  <si>
    <t>Puntajes</t>
  </si>
  <si>
    <t>I1 &gt;= 4.0</t>
  </si>
  <si>
    <t>Entrega proyecto 1 (20 pts) &gt;= 10</t>
  </si>
  <si>
    <t>I2 &gt;= 4.0</t>
  </si>
  <si>
    <t>Entrega proyecto 2 (30 pts) &gt;= 15</t>
  </si>
  <si>
    <t>Eximido</t>
  </si>
  <si>
    <t>Entrega proyecto 3 (20 pts) &gt;= 10</t>
  </si>
  <si>
    <t>Proyecto (PP)</t>
  </si>
  <si>
    <t>Entrega proyecto 4 (30 pts) &gt;= 15</t>
  </si>
  <si>
    <t>Asistencias talleres &gt;= 70%</t>
  </si>
  <si>
    <t>Asistencia ayudantías &gt;= 70%</t>
  </si>
  <si>
    <t>Nota P (&gt;= 5.0)</t>
  </si>
  <si>
    <t>Nota final</t>
  </si>
  <si>
    <t>Actividades sumativas</t>
  </si>
  <si>
    <t>Actividades sumativas unidad 1</t>
  </si>
  <si>
    <t>Proyecto final</t>
  </si>
  <si>
    <t>Actividades sumativas unidad 2</t>
  </si>
  <si>
    <t>Proyecto de final</t>
  </si>
  <si>
    <t>Un poster con un análisis</t>
  </si>
  <si>
    <t>Defensa del poster</t>
  </si>
  <si>
    <t>Pop Up Activities (3 only)</t>
  </si>
  <si>
    <t>Oral Midterm Exam - O.M.E</t>
  </si>
  <si>
    <t>Pop Up Activities 1 (considerado)</t>
  </si>
  <si>
    <t>Written Exam</t>
  </si>
  <si>
    <t>Pop Up Activities 2 (considerado)</t>
  </si>
  <si>
    <t>Final Oral Exam - F.O.E</t>
  </si>
  <si>
    <t>Pop Up Activities 3 (considerado)</t>
  </si>
  <si>
    <t>Writing Task</t>
  </si>
  <si>
    <t>Other Activities</t>
  </si>
  <si>
    <t xml:space="preserve"> Mock Exit Test 1</t>
  </si>
  <si>
    <t>Pronunciation Wrokshop and Mock Exit Test</t>
  </si>
  <si>
    <t xml:space="preserve"> Mock Exit Test 2</t>
  </si>
  <si>
    <t xml:space="preserve"> Mock Exit Test 3</t>
  </si>
  <si>
    <t>Pronunciation Wrokshop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</si>
</sst>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5">
    <font>
      <sz val="10.0"/>
      <color rgb="FF000000"/>
      <name val="Arial"/>
      <scheme val="minor"/>
    </font>
    <font>
      <color theme="1"/>
      <name val="Calibri"/>
    </font>
    <font>
      <b/>
      <sz val="20.0"/>
      <color rgb="FFFFFFFF"/>
      <name val="Calibri"/>
    </font>
    <font/>
    <font>
      <sz val="11.0"/>
      <color rgb="FFFFFFFF"/>
      <name val="Calibri"/>
    </font>
    <font>
      <color rgb="FFFFFFFF"/>
      <name val="Calibri"/>
    </font>
    <font>
      <b/>
      <sz val="11.0"/>
      <color theme="1"/>
      <name val="Calibri"/>
    </font>
    <font>
      <b/>
      <color theme="1"/>
      <name val="Calibri"/>
    </font>
    <font>
      <b/>
      <sz val="8.0"/>
      <color rgb="FF000000"/>
      <name val="Arial"/>
    </font>
    <font>
      <b/>
      <sz val="15.0"/>
      <color rgb="FFFFFFFF"/>
      <name val="Calibri"/>
    </font>
    <font>
      <sz val="11.0"/>
      <color theme="1"/>
      <name val="Calibri"/>
    </font>
    <font>
      <b/>
      <color rgb="FF000000"/>
      <name val="Calibri"/>
    </font>
    <font>
      <color rgb="FF000000"/>
      <name val="Calibri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4" numFmtId="0" xfId="0" applyAlignment="1" applyBorder="1" applyFill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ill="1" applyFont="1">
      <alignment horizontal="center" vertical="bottom"/>
    </xf>
    <xf borderId="10" fillId="2" fontId="5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 vertical="bottom"/>
    </xf>
    <xf borderId="10" fillId="0" fontId="1" numFmtId="2" xfId="0" applyAlignment="1" applyBorder="1" applyFont="1" applyNumberFormat="1">
      <alignment horizontal="center" readingOrder="0" vertical="bottom"/>
    </xf>
    <xf borderId="10" fillId="0" fontId="1" numFmtId="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vertical="bottom"/>
    </xf>
    <xf borderId="10" fillId="0" fontId="1" numFmtId="2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readingOrder="0" vertical="top"/>
    </xf>
    <xf borderId="10" fillId="0" fontId="1" numFmtId="1" xfId="0" applyAlignment="1" applyBorder="1" applyFont="1" applyNumberFormat="1">
      <alignment horizontal="center" readingOrder="0" vertical="bottom"/>
    </xf>
    <xf borderId="7" fillId="0" fontId="6" numFmtId="0" xfId="0" applyAlignment="1" applyBorder="1" applyFont="1">
      <alignment vertical="bottom"/>
    </xf>
    <xf borderId="10" fillId="0" fontId="6" numFmtId="2" xfId="0" applyAlignment="1" applyBorder="1" applyFont="1" applyNumberFormat="1">
      <alignment horizontal="center" vertical="bottom"/>
    </xf>
    <xf borderId="10" fillId="0" fontId="7" numFmtId="2" xfId="0" applyAlignment="1" applyBorder="1" applyFont="1" applyNumberFormat="1">
      <alignment horizontal="center"/>
    </xf>
    <xf borderId="10" fillId="0" fontId="6" numFmtId="0" xfId="0" applyAlignment="1" applyBorder="1" applyFont="1">
      <alignment horizontal="center" vertical="bottom"/>
    </xf>
    <xf borderId="0" fillId="2" fontId="4" numFmtId="0" xfId="0" applyAlignment="1" applyFill="1" applyFont="1">
      <alignment readingOrder="0"/>
    </xf>
    <xf borderId="0" fillId="0" fontId="8" numFmtId="0" xfId="0" applyAlignment="1" applyFont="1">
      <alignment horizontal="right" readingOrder="0"/>
    </xf>
    <xf borderId="1" fillId="2" fontId="9" numFmtId="0" xfId="0" applyAlignment="1" applyBorder="1" applyFill="1" applyFont="1">
      <alignment horizontal="left" vertical="center"/>
    </xf>
    <xf borderId="10" fillId="2" fontId="4" numFmtId="0" xfId="0" applyAlignment="1" applyBorder="1" applyFill="1" applyFont="1">
      <alignment vertical="bottom"/>
    </xf>
    <xf borderId="10" fillId="2" fontId="4" numFmtId="0" xfId="0" applyAlignment="1" applyBorder="1" applyFill="1" applyFont="1">
      <alignment readingOrder="0" vertical="bottom"/>
    </xf>
    <xf borderId="10" fillId="2" fontId="4" numFmtId="0" xfId="0" applyAlignment="1" applyBorder="1" applyFill="1" applyFont="1">
      <alignment horizontal="center" vertical="bottom"/>
    </xf>
    <xf borderId="10" fillId="2" fontId="5" numFmtId="2" xfId="0" applyAlignment="1" applyBorder="1" applyFill="1" applyFont="1" applyNumberFormat="1">
      <alignment horizontal="center" readingOrder="0"/>
    </xf>
    <xf borderId="7" fillId="3" fontId="10" numFmtId="0" xfId="0" applyAlignment="1" applyBorder="1" applyFill="1" applyFont="1">
      <alignment horizontal="center" readingOrder="0" vertical="bottom"/>
    </xf>
    <xf borderId="9" fillId="3" fontId="10" numFmtId="0" xfId="0" applyAlignment="1" applyBorder="1" applyFill="1" applyFont="1">
      <alignment horizontal="center" readingOrder="0" vertical="bottom"/>
    </xf>
    <xf borderId="10" fillId="3" fontId="10" numFmtId="0" xfId="0" applyAlignment="1" applyBorder="1" applyFill="1" applyFont="1">
      <alignment horizontal="center" readingOrder="0" vertical="bottom"/>
    </xf>
    <xf borderId="7" fillId="4" fontId="1" numFmtId="0" xfId="0" applyAlignment="1" applyBorder="1" applyFill="1" applyFont="1">
      <alignment vertical="bottom"/>
    </xf>
    <xf borderId="10" fillId="4" fontId="1" numFmtId="9" xfId="0" applyAlignment="1" applyBorder="1" applyFill="1" applyFont="1" applyNumberFormat="1">
      <alignment horizontal="center" readingOrder="0" vertical="bottom"/>
    </xf>
    <xf borderId="10" fillId="4" fontId="1" numFmtId="2" xfId="0" applyAlignment="1" applyBorder="1" applyFill="1" applyFont="1" applyNumberFormat="1">
      <alignment horizontal="center" readingOrder="0" vertical="bottom"/>
    </xf>
    <xf borderId="7" fillId="4" fontId="1" numFmtId="0" xfId="0" applyAlignment="1" applyBorder="1" applyFill="1" applyFont="1">
      <alignment readingOrder="0" vertical="bottom"/>
    </xf>
    <xf borderId="10" fillId="4" fontId="1" numFmtId="164" xfId="0" applyAlignment="1" applyBorder="1" applyFill="1" applyFont="1" applyNumberFormat="1">
      <alignment horizontal="center" readingOrder="0" vertical="bottom"/>
    </xf>
    <xf borderId="10" fillId="0" fontId="11" numFmtId="2" xfId="0" applyAlignment="1" applyBorder="1" applyFont="1" applyNumberFormat="1">
      <alignment horizontal="center" readingOrder="0" vertical="bottom"/>
    </xf>
    <xf borderId="10" fillId="0" fontId="12" numFmtId="2" xfId="0" applyAlignment="1" applyBorder="1" applyFont="1" applyNumberFormat="1">
      <alignment horizontal="center" readingOrder="0" vertical="bottom"/>
    </xf>
    <xf borderId="8" fillId="0" fontId="13" numFmtId="0" xfId="0" applyAlignment="1" applyBorder="1" applyFont="1">
      <alignment readingOrder="0"/>
    </xf>
    <xf borderId="8" fillId="0" fontId="13" numFmtId="0" xfId="0" applyBorder="1" applyFont="1"/>
    <xf borderId="8" fillId="0" fontId="13" numFmtId="9" xfId="0" applyAlignment="1" applyBorder="1" applyFont="1" applyNumberFormat="1">
      <alignment horizontal="center"/>
    </xf>
    <xf borderId="11" fillId="2" fontId="9" numFmtId="0" xfId="0" applyAlignment="1" applyBorder="1" applyFill="1" applyFont="1">
      <alignment horizontal="left" vertical="center"/>
    </xf>
    <xf borderId="10" fillId="2" fontId="4" numFmtId="0" xfId="0" applyAlignment="1" applyBorder="1" applyFill="1" applyFont="1">
      <alignment readingOrder="0" shrinkToFit="0" vertical="bottom" wrapText="0"/>
    </xf>
    <xf borderId="12" fillId="2" fontId="4" numFmtId="0" xfId="0" applyAlignment="1" applyBorder="1" applyFill="1" applyFont="1">
      <alignment horizontal="center" vertical="bottom"/>
    </xf>
    <xf borderId="12" fillId="2" fontId="5" numFmtId="165" xfId="0" applyAlignment="1" applyBorder="1" applyFill="1" applyFont="1" applyNumberFormat="1">
      <alignment horizontal="center" readingOrder="0"/>
    </xf>
    <xf borderId="12" fillId="2" fontId="5" numFmtId="2" xfId="0" applyAlignment="1" applyBorder="1" applyFill="1" applyFont="1" applyNumberFormat="1">
      <alignment horizontal="center"/>
    </xf>
    <xf borderId="12" fillId="2" fontId="5" numFmtId="2" xfId="0" applyAlignment="1" applyBorder="1" applyFill="1" applyFont="1" applyNumberFormat="1">
      <alignment horizontal="center" readingOrder="0"/>
    </xf>
    <xf borderId="0" fillId="0" fontId="10" numFmtId="0" xfId="0" applyAlignment="1" applyFont="1">
      <alignment horizontal="center" readingOrder="0" vertical="bottom"/>
    </xf>
    <xf borderId="10" fillId="4" fontId="1" numFmtId="165" xfId="0" applyAlignment="1" applyBorder="1" applyFill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10" fillId="2" fontId="5" numFmtId="2" xfId="0" applyAlignment="1" applyBorder="1" applyFill="1" applyFont="1" applyNumberFormat="1">
      <alignment horizontal="center"/>
    </xf>
    <xf borderId="1" fillId="4" fontId="1" numFmtId="0" xfId="0" applyAlignment="1" applyBorder="1" applyFill="1" applyFont="1">
      <alignment readingOrder="0" vertical="bottom"/>
    </xf>
    <xf borderId="13" fillId="0" fontId="12" numFmtId="2" xfId="0" applyAlignment="1" applyBorder="1" applyFont="1" applyNumberFormat="1">
      <alignment horizontal="center" readingOrder="0" vertical="bottom"/>
    </xf>
    <xf borderId="0" fillId="4" fontId="1" numFmtId="0" xfId="0" applyAlignment="1" applyFill="1" applyFont="1">
      <alignment readingOrder="0" vertical="bottom"/>
    </xf>
    <xf borderId="0" fillId="4" fontId="1" numFmtId="164" xfId="0" applyAlignment="1" applyFill="1" applyFont="1" applyNumberFormat="1">
      <alignment horizontal="center" readingOrder="0" vertical="bottom"/>
    </xf>
    <xf borderId="0" fillId="0" fontId="14" numFmtId="0" xfId="0" applyAlignment="1" applyFont="1">
      <alignment vertical="bottom"/>
    </xf>
    <xf borderId="13" fillId="4" fontId="1" numFmtId="9" xfId="0" applyAlignment="1" applyBorder="1" applyFill="1" applyFont="1" applyNumberFormat="1">
      <alignment horizontal="center" readingOrder="0" vertical="bottom"/>
    </xf>
    <xf borderId="13" fillId="4" fontId="1" numFmtId="164" xfId="0" applyAlignment="1" applyBorder="1" applyFill="1" applyFont="1" applyNumberFormat="1">
      <alignment horizontal="center" readingOrder="0" vertical="bottom"/>
    </xf>
    <xf borderId="2" fillId="4" fontId="1" numFmtId="0" xfId="0" applyAlignment="1" applyBorder="1" applyFill="1" applyFont="1">
      <alignment readingOrder="0" vertical="bottom"/>
    </xf>
    <xf borderId="2" fillId="4" fontId="1" numFmtId="9" xfId="0" applyAlignment="1" applyBorder="1" applyFill="1" applyFont="1" applyNumberFormat="1">
      <alignment horizontal="center" readingOrder="0" vertical="bottom"/>
    </xf>
    <xf borderId="3" fillId="4" fontId="1" numFmtId="164" xfId="0" applyAlignment="1" applyBorder="1" applyFill="1" applyFont="1" applyNumberFormat="1">
      <alignment horizontal="center" readingOrder="0" vertical="bottom"/>
    </xf>
    <xf borderId="8" fillId="3" fontId="10" numFmtId="0" xfId="0" applyAlignment="1" applyBorder="1" applyFill="1" applyFont="1">
      <alignment horizontal="center" readingOrder="0" vertical="bottom"/>
    </xf>
    <xf borderId="14" fillId="4" fontId="1" numFmtId="2" xfId="0" applyAlignment="1" applyBorder="1" applyFill="1" applyFont="1" applyNumberFormat="1">
      <alignment horizontal="center" readingOrder="0" vertical="bottom"/>
    </xf>
    <xf borderId="0" fillId="4" fontId="1" numFmtId="2" xfId="0" applyAlignment="1" applyFill="1" applyFont="1" applyNumberFormat="1">
      <alignment horizontal="center" readingOrder="0" vertical="bottom"/>
    </xf>
    <xf borderId="10" fillId="2" fontId="4" numFmtId="1" xfId="0" applyAlignment="1" applyBorder="1" applyFill="1" applyFont="1" applyNumberFormat="1">
      <alignment horizontal="center" vertical="bottom"/>
    </xf>
    <xf borderId="15" fillId="4" fontId="1" numFmtId="0" xfId="0" applyAlignment="1" applyBorder="1" applyFill="1" applyFont="1">
      <alignment readingOrder="0" vertical="bottom"/>
    </xf>
    <xf borderId="16" fillId="0" fontId="3" numFmtId="0" xfId="0" applyBorder="1" applyFont="1"/>
    <xf borderId="17" fillId="4" fontId="1" numFmtId="9" xfId="0" applyAlignment="1" applyBorder="1" applyFill="1" applyFont="1" applyNumberFormat="1">
      <alignment horizontal="center" readingOrder="0" vertical="bottom"/>
    </xf>
    <xf borderId="17" fillId="4" fontId="1" numFmtId="164" xfId="0" applyAlignment="1" applyBorder="1" applyFill="1" applyFont="1" applyNumberFormat="1">
      <alignment horizontal="center" readingOrder="0" vertical="bottom"/>
    </xf>
    <xf borderId="4" fillId="4" fontId="1" numFmtId="0" xfId="0" applyAlignment="1" applyBorder="1" applyFill="1" applyFont="1">
      <alignment readingOrder="0" vertical="bottom"/>
    </xf>
    <xf borderId="12" fillId="4" fontId="1" numFmtId="9" xfId="0" applyAlignment="1" applyBorder="1" applyFill="1" applyFont="1" applyNumberFormat="1">
      <alignment horizontal="center" readingOrder="0" vertical="bottom"/>
    </xf>
    <xf borderId="12" fillId="4" fontId="1" numFmtId="164" xfId="0" applyAlignment="1" applyBorder="1" applyFill="1" applyFont="1" applyNumberFormat="1">
      <alignment horizontal="center" readingOrder="0" vertical="bottom"/>
    </xf>
    <xf borderId="0" fillId="0" fontId="13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63"/>
    <col customWidth="1" min="2" max="6" width="16.38"/>
    <col customWidth="1" min="7" max="7" width="17.63"/>
    <col customWidth="1" min="8" max="9" width="16.38"/>
    <col customWidth="1" min="10" max="10" width="2.63"/>
    <col customWidth="1" min="21" max="21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5"/>
      <c r="C3" s="6"/>
      <c r="D3" s="6"/>
      <c r="E3" s="6"/>
      <c r="F3" s="6"/>
      <c r="G3" s="6"/>
      <c r="H3" s="6"/>
      <c r="I3" s="7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 t="s">
        <v>1</v>
      </c>
      <c r="C4" s="9"/>
      <c r="D4" s="9"/>
      <c r="E4" s="9"/>
      <c r="F4" s="10"/>
      <c r="G4" s="11" t="s">
        <v>2</v>
      </c>
      <c r="H4" s="12" t="s">
        <v>3</v>
      </c>
      <c r="I4" s="11" t="s">
        <v>4</v>
      </c>
      <c r="J4" s="1"/>
      <c r="K4" s="1"/>
      <c r="L4" s="1"/>
      <c r="M4" s="13"/>
      <c r="N4" s="1"/>
      <c r="O4" s="1"/>
      <c r="P4" s="1"/>
      <c r="Q4" s="1"/>
      <c r="R4" s="1"/>
    </row>
    <row r="5">
      <c r="A5" s="1"/>
      <c r="B5" s="14" t="s">
        <v>5</v>
      </c>
      <c r="C5" s="9"/>
      <c r="D5" s="9"/>
      <c r="E5" s="9"/>
      <c r="F5" s="10"/>
      <c r="G5" s="15">
        <f>I15</f>
        <v>5</v>
      </c>
      <c r="H5" s="16" t="str">
        <f t="shared" ref="H5:H9" si="1">IF(G5&gt;=4,"Aprobado","No aprobado")</f>
        <v>Aprobado</v>
      </c>
      <c r="I5" s="17">
        <v>10.0</v>
      </c>
      <c r="J5" s="1"/>
      <c r="K5" s="1"/>
      <c r="L5" s="1"/>
      <c r="M5" s="13"/>
      <c r="N5" s="1"/>
      <c r="O5" s="1"/>
      <c r="P5" s="1"/>
      <c r="Q5" s="1"/>
      <c r="R5" s="1"/>
    </row>
    <row r="6">
      <c r="A6" s="1"/>
      <c r="B6" s="14" t="s">
        <v>6</v>
      </c>
      <c r="C6" s="9"/>
      <c r="D6" s="9"/>
      <c r="E6" s="9"/>
      <c r="F6" s="10"/>
      <c r="G6" s="15">
        <f>I23</f>
        <v>6.3</v>
      </c>
      <c r="H6" s="16" t="str">
        <f t="shared" si="1"/>
        <v>Aprobado</v>
      </c>
      <c r="I6" s="17">
        <v>10.0</v>
      </c>
      <c r="J6" s="1"/>
      <c r="K6" s="1"/>
      <c r="L6" s="1"/>
      <c r="M6" s="13"/>
      <c r="N6" s="1"/>
      <c r="O6" s="1"/>
      <c r="P6" s="1"/>
      <c r="Q6" s="1"/>
      <c r="R6" s="1"/>
    </row>
    <row r="7">
      <c r="A7" s="1"/>
      <c r="B7" s="14" t="s">
        <v>7</v>
      </c>
      <c r="C7" s="9"/>
      <c r="D7" s="9"/>
      <c r="E7" s="9"/>
      <c r="F7" s="10"/>
      <c r="G7" s="15">
        <f>I30/10</f>
        <v>6.41</v>
      </c>
      <c r="H7" s="16" t="str">
        <f t="shared" si="1"/>
        <v>Aprobado</v>
      </c>
      <c r="I7" s="17">
        <v>10.0</v>
      </c>
      <c r="J7" s="1"/>
      <c r="K7" s="1"/>
      <c r="L7" s="1"/>
      <c r="M7" s="13"/>
      <c r="N7" s="1"/>
      <c r="O7" s="1"/>
      <c r="P7" s="1"/>
      <c r="Q7" s="1"/>
      <c r="R7" s="1"/>
    </row>
    <row r="8">
      <c r="A8" s="1"/>
      <c r="B8" s="18" t="s">
        <v>8</v>
      </c>
      <c r="C8" s="9"/>
      <c r="D8" s="9"/>
      <c r="E8" s="9"/>
      <c r="F8" s="10"/>
      <c r="G8" s="19">
        <f>I40</f>
        <v>7</v>
      </c>
      <c r="H8" s="16" t="str">
        <f t="shared" si="1"/>
        <v>Aprobado</v>
      </c>
      <c r="I8" s="17">
        <v>10.0</v>
      </c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20" t="s">
        <v>9</v>
      </c>
      <c r="C9" s="9"/>
      <c r="D9" s="9"/>
      <c r="E9" s="9"/>
      <c r="F9" s="10"/>
      <c r="G9" s="19">
        <f>I49</f>
        <v>5.37</v>
      </c>
      <c r="H9" s="16" t="str">
        <f t="shared" si="1"/>
        <v>Aprobado</v>
      </c>
      <c r="I9" s="21">
        <v>5.0</v>
      </c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22" t="s">
        <v>10</v>
      </c>
      <c r="C10" s="9"/>
      <c r="D10" s="9"/>
      <c r="E10" s="9"/>
      <c r="F10" s="10"/>
      <c r="G10" s="23">
        <f>AVERAGE(G5:G9)</f>
        <v>6.016</v>
      </c>
      <c r="H10" s="24"/>
      <c r="I10" s="25">
        <f>SUM(I5:I9)</f>
        <v>45</v>
      </c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26" t="s">
        <v>11</v>
      </c>
      <c r="J12" s="1"/>
      <c r="K12" s="1"/>
      <c r="L12" s="1"/>
      <c r="M12" s="1"/>
      <c r="N12" s="1"/>
      <c r="O12" s="1"/>
      <c r="Q12" s="1"/>
      <c r="R12" s="1"/>
    </row>
    <row r="13">
      <c r="P13" s="27"/>
    </row>
    <row r="14">
      <c r="B14" s="28" t="str">
        <f>B5</f>
        <v>ICS2563 Econometría Aplicada</v>
      </c>
      <c r="C14" s="3"/>
      <c r="D14" s="3"/>
      <c r="E14" s="3"/>
      <c r="F14" s="3"/>
      <c r="G14" s="29" t="s">
        <v>12</v>
      </c>
      <c r="H14" s="30" t="s">
        <v>13</v>
      </c>
      <c r="I14" s="30" t="s">
        <v>14</v>
      </c>
    </row>
    <row r="15">
      <c r="B15" s="5"/>
      <c r="C15" s="6"/>
      <c r="D15" s="6"/>
      <c r="E15" s="6"/>
      <c r="F15" s="6"/>
      <c r="G15" s="31">
        <f>I5</f>
        <v>10</v>
      </c>
      <c r="H15" s="32">
        <f>IFERROR(AVERAGEIF(E17:E19,"&gt;0"),"")
</f>
        <v>4.318333333</v>
      </c>
      <c r="I15" s="32">
        <v>5.0</v>
      </c>
    </row>
    <row r="16" outlineLevel="1">
      <c r="B16" s="33" t="s">
        <v>15</v>
      </c>
      <c r="C16" s="9"/>
      <c r="D16" s="34" t="s">
        <v>16</v>
      </c>
      <c r="E16" s="35" t="s">
        <v>17</v>
      </c>
      <c r="F16" s="33" t="s">
        <v>18</v>
      </c>
      <c r="G16" s="9"/>
      <c r="H16" s="10"/>
      <c r="I16" s="35" t="s">
        <v>17</v>
      </c>
    </row>
    <row r="17" outlineLevel="1">
      <c r="B17" s="36" t="s">
        <v>19</v>
      </c>
      <c r="C17" s="10"/>
      <c r="D17" s="37">
        <v>0.2</v>
      </c>
      <c r="E17" s="38">
        <v>4.33</v>
      </c>
      <c r="F17" s="39" t="s">
        <v>20</v>
      </c>
      <c r="G17" s="9"/>
      <c r="H17" s="10"/>
      <c r="I17" s="38">
        <v>6.35</v>
      </c>
    </row>
    <row r="18" outlineLevel="1">
      <c r="B18" s="36" t="s">
        <v>21</v>
      </c>
      <c r="C18" s="10"/>
      <c r="D18" s="37">
        <v>0.2</v>
      </c>
      <c r="E18" s="38">
        <v>3.625</v>
      </c>
      <c r="F18" s="39" t="s">
        <v>22</v>
      </c>
      <c r="G18" s="9"/>
      <c r="H18" s="10"/>
      <c r="I18" s="40">
        <v>5.8</v>
      </c>
    </row>
    <row r="19" outlineLevel="1">
      <c r="B19" s="39" t="s">
        <v>23</v>
      </c>
      <c r="C19" s="10"/>
      <c r="D19" s="37">
        <v>0.2</v>
      </c>
      <c r="E19" s="41">
        <v>5.0</v>
      </c>
      <c r="F19" s="39" t="s">
        <v>24</v>
      </c>
      <c r="G19" s="9"/>
      <c r="H19" s="10"/>
      <c r="I19" s="38">
        <v>5.88</v>
      </c>
    </row>
    <row r="20" outlineLevel="1">
      <c r="B20" s="39" t="s">
        <v>25</v>
      </c>
      <c r="C20" s="10"/>
      <c r="D20" s="37">
        <v>0.4</v>
      </c>
      <c r="E20" s="42">
        <f>IFERROR(AVERAGEIF(I17:I20,"&gt;0"),"")
</f>
        <v>6</v>
      </c>
      <c r="F20" s="39" t="s">
        <v>26</v>
      </c>
      <c r="G20" s="9"/>
      <c r="H20" s="10"/>
      <c r="I20" s="38">
        <v>5.97</v>
      </c>
    </row>
    <row r="21">
      <c r="B21" s="43"/>
      <c r="C21" s="43"/>
      <c r="D21" s="44"/>
      <c r="E21" s="44"/>
      <c r="F21" s="44"/>
      <c r="G21" s="44"/>
      <c r="H21" s="44"/>
      <c r="I21" s="45"/>
    </row>
    <row r="22">
      <c r="B22" s="46" t="str">
        <f>B6</f>
        <v>ICS2121 Métodos de Optimización</v>
      </c>
      <c r="F22" s="29" t="s">
        <v>12</v>
      </c>
      <c r="G22" s="30" t="s">
        <v>27</v>
      </c>
      <c r="H22" s="47" t="s">
        <v>28</v>
      </c>
      <c r="I22" s="30" t="s">
        <v>29</v>
      </c>
    </row>
    <row r="23">
      <c r="B23" s="5"/>
      <c r="C23" s="6"/>
      <c r="D23" s="6"/>
      <c r="E23" s="6"/>
      <c r="F23" s="48">
        <f>I6</f>
        <v>10</v>
      </c>
      <c r="G23" s="49">
        <v>5.76</v>
      </c>
      <c r="H23" s="50">
        <f>1/3*(I25+I26+I27)
</f>
        <v>6.461</v>
      </c>
      <c r="I23" s="51">
        <v>6.3</v>
      </c>
    </row>
    <row r="24" outlineLevel="1">
      <c r="B24" s="33" t="s">
        <v>15</v>
      </c>
      <c r="C24" s="9"/>
      <c r="D24" s="34" t="s">
        <v>16</v>
      </c>
      <c r="E24" s="35" t="s">
        <v>17</v>
      </c>
      <c r="F24" s="33" t="s">
        <v>18</v>
      </c>
      <c r="G24" s="9"/>
      <c r="H24" s="10"/>
      <c r="I24" s="35" t="s">
        <v>17</v>
      </c>
      <c r="K24" s="52"/>
      <c r="L24" s="52"/>
      <c r="M24" s="52"/>
      <c r="N24" s="52"/>
      <c r="O24" s="52"/>
      <c r="R24" s="52"/>
    </row>
    <row r="25" outlineLevel="1">
      <c r="B25" s="39" t="s">
        <v>19</v>
      </c>
      <c r="C25" s="9"/>
      <c r="D25" s="10"/>
      <c r="E25" s="40">
        <v>6.0</v>
      </c>
      <c r="F25" s="39" t="s">
        <v>20</v>
      </c>
      <c r="G25" s="9"/>
      <c r="H25" s="10"/>
      <c r="I25" s="53">
        <v>6.683</v>
      </c>
      <c r="K25" s="54"/>
      <c r="L25" s="54"/>
      <c r="M25" s="54"/>
      <c r="N25" s="55"/>
      <c r="O25" s="54"/>
      <c r="R25" s="56"/>
    </row>
    <row r="26" outlineLevel="1">
      <c r="B26" s="39" t="s">
        <v>21</v>
      </c>
      <c r="C26" s="9"/>
      <c r="D26" s="10"/>
      <c r="E26" s="40">
        <v>4.27</v>
      </c>
      <c r="F26" s="39" t="s">
        <v>22</v>
      </c>
      <c r="G26" s="9"/>
      <c r="H26" s="10"/>
      <c r="I26" s="40">
        <v>6.6</v>
      </c>
      <c r="K26" s="54"/>
      <c r="L26" s="54"/>
      <c r="M26" s="54"/>
      <c r="N26" s="56"/>
      <c r="O26" s="54"/>
      <c r="R26" s="56"/>
    </row>
    <row r="27" outlineLevel="1">
      <c r="B27" s="39" t="s">
        <v>23</v>
      </c>
      <c r="C27" s="9"/>
      <c r="D27" s="10"/>
      <c r="E27" s="40">
        <v>5.7</v>
      </c>
      <c r="F27" s="39" t="s">
        <v>24</v>
      </c>
      <c r="G27" s="9"/>
      <c r="H27" s="10"/>
      <c r="I27" s="40">
        <v>6.1</v>
      </c>
      <c r="K27" s="54"/>
      <c r="L27" s="54"/>
      <c r="M27" s="54"/>
      <c r="N27" s="56"/>
      <c r="O27" s="54"/>
      <c r="R27" s="56"/>
    </row>
    <row r="29">
      <c r="B29" s="28" t="str">
        <f>B7</f>
        <v>IIC2413 Bases de Datos</v>
      </c>
      <c r="C29" s="3"/>
      <c r="D29" s="3"/>
      <c r="E29" s="29" t="s">
        <v>12</v>
      </c>
      <c r="F29" s="30" t="s">
        <v>30</v>
      </c>
      <c r="G29" s="30" t="s">
        <v>31</v>
      </c>
      <c r="H29" s="30" t="s">
        <v>32</v>
      </c>
      <c r="I29" s="30" t="s">
        <v>29</v>
      </c>
    </row>
    <row r="30" collapsed="1">
      <c r="B30" s="5"/>
      <c r="C30" s="6"/>
      <c r="D30" s="6"/>
      <c r="E30" s="31">
        <f>I7</f>
        <v>10</v>
      </c>
      <c r="F30" s="57" t="str">
        <f> (E32 + E33 * 0.3* E36 + 1.5*E34)/3.8</f>
        <v>#VALUE!</v>
      </c>
      <c r="G30" s="57">
        <f> (((E35*E37)/100)*6 +1)*10</f>
        <v>65.755</v>
      </c>
      <c r="H30" s="57">
        <f> ((0.5 * G30) + ( (0.5/2.3) * ((E32 + E33 + (7* 0.3)))))</f>
        <v>61.81228261</v>
      </c>
      <c r="I30" s="32">
        <v>64.1</v>
      </c>
    </row>
    <row r="31" hidden="1" outlineLevel="1">
      <c r="B31" s="33" t="s">
        <v>15</v>
      </c>
      <c r="C31" s="9"/>
      <c r="D31" s="10"/>
      <c r="E31" s="35" t="s">
        <v>17</v>
      </c>
      <c r="F31" s="33" t="s">
        <v>33</v>
      </c>
      <c r="G31" s="9"/>
      <c r="H31" s="10"/>
      <c r="I31" s="35" t="s">
        <v>34</v>
      </c>
    </row>
    <row r="32" hidden="1" outlineLevel="1">
      <c r="B32" s="39" t="s">
        <v>35</v>
      </c>
      <c r="C32" s="9"/>
      <c r="D32" s="10"/>
      <c r="E32" s="40">
        <v>68.0</v>
      </c>
      <c r="F32" s="39" t="s">
        <v>36</v>
      </c>
      <c r="G32" s="9"/>
      <c r="H32" s="10"/>
      <c r="I32" s="38">
        <v>18.5</v>
      </c>
    </row>
    <row r="33" hidden="1" outlineLevel="1">
      <c r="B33" s="39" t="s">
        <v>37</v>
      </c>
      <c r="C33" s="9"/>
      <c r="D33" s="10"/>
      <c r="E33" s="40">
        <v>63.0</v>
      </c>
      <c r="F33" s="39" t="s">
        <v>38</v>
      </c>
      <c r="G33" s="9"/>
      <c r="H33" s="10"/>
      <c r="I33" s="40">
        <v>23.0</v>
      </c>
    </row>
    <row r="34" hidden="1" outlineLevel="1">
      <c r="B34" s="58" t="s">
        <v>23</v>
      </c>
      <c r="C34" s="3"/>
      <c r="D34" s="4"/>
      <c r="E34" s="59" t="s">
        <v>39</v>
      </c>
      <c r="F34" s="39" t="s">
        <v>40</v>
      </c>
      <c r="G34" s="9"/>
      <c r="H34" s="10"/>
      <c r="I34" s="40">
        <v>19.0</v>
      </c>
    </row>
    <row r="35" hidden="1" outlineLevel="1">
      <c r="B35" s="39" t="s">
        <v>41</v>
      </c>
      <c r="C35" s="9"/>
      <c r="D35" s="10"/>
      <c r="E35" s="38">
        <f>SUM(I32:I35)</f>
        <v>88.5</v>
      </c>
      <c r="F35" s="39" t="s">
        <v>42</v>
      </c>
      <c r="G35" s="9"/>
      <c r="H35" s="10"/>
      <c r="I35" s="40">
        <v>28.0</v>
      </c>
    </row>
    <row r="36" hidden="1" outlineLevel="1">
      <c r="B36" s="39" t="s">
        <v>43</v>
      </c>
      <c r="C36" s="9"/>
      <c r="D36" s="10"/>
      <c r="E36" s="38">
        <v>7.0</v>
      </c>
      <c r="F36" s="60"/>
      <c r="G36" s="60"/>
      <c r="H36" s="60"/>
      <c r="I36" s="61"/>
    </row>
    <row r="37" hidden="1" outlineLevel="1">
      <c r="B37" s="39" t="s">
        <v>44</v>
      </c>
      <c r="C37" s="9"/>
      <c r="D37" s="10"/>
      <c r="E37" s="38">
        <v>1.05</v>
      </c>
      <c r="F37" s="60"/>
      <c r="G37" s="60"/>
      <c r="H37" s="60"/>
      <c r="I37" s="61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</row>
    <row r="39">
      <c r="B39" s="28" t="str">
        <f>B8</f>
        <v>ETI188 Ética para Ingeniería </v>
      </c>
      <c r="C39" s="3"/>
      <c r="D39" s="3"/>
      <c r="E39" s="3"/>
      <c r="F39" s="3"/>
      <c r="G39" s="29" t="s">
        <v>12</v>
      </c>
      <c r="H39" s="30" t="s">
        <v>45</v>
      </c>
      <c r="I39" s="30" t="s">
        <v>46</v>
      </c>
    </row>
    <row r="40" collapsed="1">
      <c r="B40" s="5"/>
      <c r="C40" s="6"/>
      <c r="D40" s="6"/>
      <c r="E40" s="6"/>
      <c r="F40" s="6"/>
      <c r="G40" s="31">
        <f>I8</f>
        <v>10</v>
      </c>
      <c r="H40" s="32">
        <f>IFERROR(SUMPRODUCT(D42:D43,E42:E43)/SUMIF(E42:E43,"&gt;0",D42:D43),"")
</f>
        <v>6.755</v>
      </c>
      <c r="I40" s="32">
        <v>7.0</v>
      </c>
    </row>
    <row r="41" hidden="1" outlineLevel="1">
      <c r="B41" s="33" t="s">
        <v>15</v>
      </c>
      <c r="C41" s="9"/>
      <c r="D41" s="35" t="s">
        <v>16</v>
      </c>
      <c r="E41" s="35" t="s">
        <v>17</v>
      </c>
      <c r="F41" s="33" t="s">
        <v>47</v>
      </c>
      <c r="G41" s="9"/>
      <c r="H41" s="10"/>
      <c r="I41" s="35" t="s">
        <v>17</v>
      </c>
    </row>
    <row r="42" hidden="1" outlineLevel="1">
      <c r="B42" s="39" t="s">
        <v>47</v>
      </c>
      <c r="C42" s="9"/>
      <c r="D42" s="37">
        <v>0.65</v>
      </c>
      <c r="E42" s="40">
        <f>IFERROR(AVERAGEIF(I42:I43,"&gt;0"),"")
</f>
        <v>7</v>
      </c>
      <c r="F42" s="39" t="s">
        <v>48</v>
      </c>
      <c r="G42" s="9"/>
      <c r="H42" s="10"/>
      <c r="I42" s="40">
        <v>7.0</v>
      </c>
    </row>
    <row r="43" hidden="1" outlineLevel="1">
      <c r="B43" s="58" t="s">
        <v>49</v>
      </c>
      <c r="C43" s="3"/>
      <c r="D43" s="63">
        <v>0.35</v>
      </c>
      <c r="E43" s="64">
        <f>IFERROR(SUMPRODUCT(H45:H46,I45:I46)/SUMIF(I45:I46,"&gt;0",H45:H46),"")
</f>
        <v>6.3</v>
      </c>
      <c r="F43" s="39" t="s">
        <v>50</v>
      </c>
      <c r="G43" s="9"/>
      <c r="H43" s="10"/>
      <c r="I43" s="40">
        <v>7.0</v>
      </c>
    </row>
    <row r="44" hidden="1" outlineLevel="1">
      <c r="B44" s="65"/>
      <c r="C44" s="3"/>
      <c r="D44" s="66"/>
      <c r="E44" s="67"/>
      <c r="F44" s="68" t="s">
        <v>51</v>
      </c>
      <c r="G44" s="10"/>
      <c r="H44" s="35" t="s">
        <v>16</v>
      </c>
      <c r="I44" s="35" t="s">
        <v>17</v>
      </c>
    </row>
    <row r="45" hidden="1" outlineLevel="1">
      <c r="B45" s="60"/>
      <c r="E45" s="69"/>
      <c r="F45" s="39" t="s">
        <v>52</v>
      </c>
      <c r="G45" s="10"/>
      <c r="H45" s="37">
        <v>0.5</v>
      </c>
      <c r="I45" s="40">
        <v>6.3</v>
      </c>
    </row>
    <row r="46" hidden="1" outlineLevel="1">
      <c r="B46" s="60"/>
      <c r="C46" s="60"/>
      <c r="D46" s="60"/>
      <c r="E46" s="70"/>
      <c r="F46" s="39" t="s">
        <v>53</v>
      </c>
      <c r="G46" s="10"/>
      <c r="H46" s="37">
        <v>0.5</v>
      </c>
      <c r="I46" s="40">
        <v>6.3</v>
      </c>
    </row>
    <row r="47">
      <c r="B47" s="60"/>
      <c r="C47" s="60"/>
      <c r="D47" s="60"/>
      <c r="E47" s="60"/>
      <c r="F47" s="1"/>
      <c r="G47" s="1"/>
      <c r="H47" s="1"/>
      <c r="I47" s="1"/>
    </row>
    <row r="48">
      <c r="B48" s="28" t="str">
        <f>B9</f>
        <v>EUC6000 Upper Intermediate English II</v>
      </c>
      <c r="C48" s="3"/>
      <c r="D48" s="3"/>
      <c r="E48" s="3"/>
      <c r="F48" s="3"/>
      <c r="G48" s="4"/>
      <c r="H48" s="29" t="s">
        <v>12</v>
      </c>
      <c r="I48" s="30" t="s">
        <v>46</v>
      </c>
    </row>
    <row r="49">
      <c r="B49" s="5"/>
      <c r="C49" s="6"/>
      <c r="D49" s="6"/>
      <c r="E49" s="6"/>
      <c r="F49" s="6"/>
      <c r="G49" s="7"/>
      <c r="H49" s="71">
        <f>I9</f>
        <v>5</v>
      </c>
      <c r="I49" s="57">
        <f>IFERROR(SUMPRODUCT(D51:D56,E51:E56)/SUMIF(E51:E56,"&gt;0",D51:D56),"")
</f>
        <v>5.37</v>
      </c>
    </row>
    <row r="50" outlineLevel="1">
      <c r="B50" s="33" t="s">
        <v>15</v>
      </c>
      <c r="C50" s="9"/>
      <c r="D50" s="35" t="s">
        <v>16</v>
      </c>
      <c r="E50" s="35" t="s">
        <v>17</v>
      </c>
      <c r="F50" s="33" t="s">
        <v>54</v>
      </c>
      <c r="G50" s="9"/>
      <c r="H50" s="10"/>
      <c r="I50" s="35" t="s">
        <v>17</v>
      </c>
    </row>
    <row r="51" outlineLevel="1">
      <c r="B51" s="39" t="s">
        <v>55</v>
      </c>
      <c r="C51" s="9"/>
      <c r="D51" s="37">
        <v>0.15</v>
      </c>
      <c r="E51" s="40">
        <v>6.3</v>
      </c>
      <c r="F51" s="39" t="s">
        <v>56</v>
      </c>
      <c r="G51" s="9"/>
      <c r="H51" s="10"/>
      <c r="I51" s="40">
        <v>7.0</v>
      </c>
    </row>
    <row r="52" outlineLevel="1">
      <c r="B52" s="39" t="s">
        <v>57</v>
      </c>
      <c r="C52" s="9"/>
      <c r="D52" s="37">
        <v>0.3</v>
      </c>
      <c r="E52" s="40">
        <v>4.1</v>
      </c>
      <c r="F52" s="39" t="s">
        <v>58</v>
      </c>
      <c r="G52" s="9"/>
      <c r="H52" s="10"/>
      <c r="I52" s="40">
        <v>7.0</v>
      </c>
    </row>
    <row r="53" outlineLevel="1">
      <c r="B53" s="72" t="s">
        <v>59</v>
      </c>
      <c r="C53" s="73"/>
      <c r="D53" s="74">
        <v>0.4</v>
      </c>
      <c r="E53" s="75">
        <v>5.5</v>
      </c>
      <c r="F53" s="39" t="s">
        <v>60</v>
      </c>
      <c r="G53" s="9"/>
      <c r="H53" s="10"/>
      <c r="I53" s="40">
        <v>7.0</v>
      </c>
    </row>
    <row r="54" outlineLevel="1">
      <c r="B54" s="76" t="s">
        <v>61</v>
      </c>
      <c r="C54" s="6"/>
      <c r="D54" s="77">
        <v>0.05</v>
      </c>
      <c r="E54" s="78">
        <v>6.5</v>
      </c>
      <c r="F54" s="33" t="s">
        <v>62</v>
      </c>
      <c r="G54" s="9"/>
      <c r="H54" s="10"/>
      <c r="I54" s="35" t="s">
        <v>17</v>
      </c>
    </row>
    <row r="55" outlineLevel="1">
      <c r="B55" s="39" t="s">
        <v>54</v>
      </c>
      <c r="C55" s="9"/>
      <c r="D55" s="37">
        <v>0.05</v>
      </c>
      <c r="E55" s="40">
        <f>IFERROR(AVERAGEIF(I51:I53,"&gt;0"),"")
</f>
        <v>7</v>
      </c>
      <c r="F55" s="39" t="s">
        <v>63</v>
      </c>
      <c r="G55" s="9"/>
      <c r="H55" s="10"/>
      <c r="I55" s="40">
        <v>4.0</v>
      </c>
    </row>
    <row r="56" outlineLevel="1">
      <c r="B56" s="39" t="s">
        <v>64</v>
      </c>
      <c r="C56" s="9"/>
      <c r="D56" s="37">
        <v>0.05</v>
      </c>
      <c r="E56" s="40">
        <v>6.4</v>
      </c>
      <c r="F56" s="39" t="s">
        <v>65</v>
      </c>
      <c r="G56" s="9"/>
      <c r="H56" s="10"/>
      <c r="I56" s="40">
        <v>4.0</v>
      </c>
    </row>
    <row r="57" outlineLevel="1">
      <c r="D57" s="79"/>
      <c r="F57" s="39" t="s">
        <v>66</v>
      </c>
      <c r="G57" s="9"/>
      <c r="H57" s="10"/>
      <c r="I57" s="40">
        <v>4.0</v>
      </c>
    </row>
    <row r="58" outlineLevel="1">
      <c r="D58" s="79"/>
      <c r="F58" s="39" t="s">
        <v>67</v>
      </c>
      <c r="G58" s="9"/>
      <c r="H58" s="10"/>
      <c r="I58" s="40">
        <v>10.0</v>
      </c>
    </row>
    <row r="59" outlineLevel="1">
      <c r="D59" s="79"/>
    </row>
    <row r="60" outlineLevel="1">
      <c r="D60" s="79"/>
    </row>
    <row r="61" outlineLevel="1"/>
    <row r="62" outlineLevel="1"/>
  </sheetData>
  <mergeCells count="75">
    <mergeCell ref="F33:H33"/>
    <mergeCell ref="F34:H34"/>
    <mergeCell ref="B29:D30"/>
    <mergeCell ref="B31:D31"/>
    <mergeCell ref="F31:H31"/>
    <mergeCell ref="B32:D32"/>
    <mergeCell ref="F32:H32"/>
    <mergeCell ref="B33:D33"/>
    <mergeCell ref="B34:D34"/>
    <mergeCell ref="F42:H42"/>
    <mergeCell ref="F43:H43"/>
    <mergeCell ref="B36:D36"/>
    <mergeCell ref="B37:D37"/>
    <mergeCell ref="B39:F40"/>
    <mergeCell ref="B41:C41"/>
    <mergeCell ref="F41:H41"/>
    <mergeCell ref="B42:C42"/>
    <mergeCell ref="B43:C43"/>
    <mergeCell ref="B50:C50"/>
    <mergeCell ref="B51:C51"/>
    <mergeCell ref="B52:C52"/>
    <mergeCell ref="B53:C53"/>
    <mergeCell ref="B54:C54"/>
    <mergeCell ref="B55:C55"/>
    <mergeCell ref="B56:C56"/>
    <mergeCell ref="F51:H51"/>
    <mergeCell ref="F52:H52"/>
    <mergeCell ref="F53:H53"/>
    <mergeCell ref="F54:H54"/>
    <mergeCell ref="F55:H55"/>
    <mergeCell ref="F56:H56"/>
    <mergeCell ref="F57:H57"/>
    <mergeCell ref="F58:H58"/>
    <mergeCell ref="B44:C44"/>
    <mergeCell ref="F44:G44"/>
    <mergeCell ref="B45:D45"/>
    <mergeCell ref="F45:G45"/>
    <mergeCell ref="F46:G46"/>
    <mergeCell ref="B48:G49"/>
    <mergeCell ref="F50:H50"/>
    <mergeCell ref="B2:I3"/>
    <mergeCell ref="B4:F4"/>
    <mergeCell ref="B5:F5"/>
    <mergeCell ref="B6:F6"/>
    <mergeCell ref="B7:F7"/>
    <mergeCell ref="B8:F8"/>
    <mergeCell ref="B9:F9"/>
    <mergeCell ref="F17:H17"/>
    <mergeCell ref="F18:H18"/>
    <mergeCell ref="B10:F10"/>
    <mergeCell ref="B12:I12"/>
    <mergeCell ref="B14:F15"/>
    <mergeCell ref="B16:C16"/>
    <mergeCell ref="F16:H16"/>
    <mergeCell ref="B17:C17"/>
    <mergeCell ref="B18:C18"/>
    <mergeCell ref="O25:Q25"/>
    <mergeCell ref="O26:Q26"/>
    <mergeCell ref="O27:Q27"/>
    <mergeCell ref="B19:C19"/>
    <mergeCell ref="F19:H19"/>
    <mergeCell ref="B20:C20"/>
    <mergeCell ref="F20:H20"/>
    <mergeCell ref="B22:E23"/>
    <mergeCell ref="F24:H24"/>
    <mergeCell ref="O24:Q24"/>
    <mergeCell ref="B24:C24"/>
    <mergeCell ref="B25:D25"/>
    <mergeCell ref="F25:H25"/>
    <mergeCell ref="B26:D26"/>
    <mergeCell ref="F26:H26"/>
    <mergeCell ref="B27:D27"/>
    <mergeCell ref="F27:H27"/>
    <mergeCell ref="B35:D35"/>
    <mergeCell ref="F35:H35"/>
  </mergeCells>
  <drawing r:id="rId1"/>
</worksheet>
</file>