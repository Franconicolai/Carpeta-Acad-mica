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<sst xmlns="http://schemas.openxmlformats.org/spreadsheetml/2006/main" count="122" uniqueCount="83">
  <si>
    <t>Libro de calificaciones</t>
  </si>
  <si>
    <t>Ramos</t>
  </si>
  <si>
    <t>Promedio</t>
  </si>
  <si>
    <t>Estado</t>
  </si>
  <si>
    <t>Creditos</t>
  </si>
  <si>
    <t>IEE1533 Fundamentos de Teoría Electromagnética</t>
  </si>
  <si>
    <t>EYP1113 Probabilidades y Estadística</t>
  </si>
  <si>
    <t>BIO141C Biología de la Célula</t>
  </si>
  <si>
    <t>ICH1104 Mecánica de Fluidos</t>
  </si>
  <si>
    <t xml:space="preserve">Promedio general </t>
  </si>
  <si>
    <t>Detalle de calificaciónes</t>
  </si>
  <si>
    <t>Créditos:</t>
  </si>
  <si>
    <t>NPE &gt; 40</t>
  </si>
  <si>
    <t>Prom. Actual</t>
  </si>
  <si>
    <t>Evaluaciónes de catedra</t>
  </si>
  <si>
    <t>%</t>
  </si>
  <si>
    <t>Nota</t>
  </si>
  <si>
    <t>Evaluaciónes de laboratorios</t>
  </si>
  <si>
    <t>I1</t>
  </si>
  <si>
    <t>Laboratorio 1</t>
  </si>
  <si>
    <t>I2</t>
  </si>
  <si>
    <t>Laboratorio 2</t>
  </si>
  <si>
    <t>Examen</t>
  </si>
  <si>
    <t>Laboratorio 3</t>
  </si>
  <si>
    <t>Tareas</t>
  </si>
  <si>
    <t>Laboratorio 4</t>
  </si>
  <si>
    <t>Controles</t>
  </si>
  <si>
    <t>Laboratorio 5</t>
  </si>
  <si>
    <t>Laboratorios</t>
  </si>
  <si>
    <t>Tareas filtradas</t>
  </si>
  <si>
    <t>Tarea 1</t>
  </si>
  <si>
    <t>Tarea 2</t>
  </si>
  <si>
    <t>Tarea 3</t>
  </si>
  <si>
    <t>Tarea 4</t>
  </si>
  <si>
    <t>Tarea 5</t>
  </si>
  <si>
    <t>Tarea 6</t>
  </si>
  <si>
    <t>Tarea 7</t>
  </si>
  <si>
    <t>Tarea 8</t>
  </si>
  <si>
    <t>Controles filtradas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</si>
  <si>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</si>
  <si>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</si>
  <si>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</si>
  <si>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</si>
  <si>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</si>
  <si>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</si>
  <si>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</si>
  <si>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</si>
  <si>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</si>
  <si>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</si>
  <si>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</si>
  <si>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</si>
  <si>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Evaluaciónes de taller</t>
  </si>
  <si>
    <t>Evaluaciónes de taller 1</t>
  </si>
  <si>
    <t>Evaluaciónes de taller 2</t>
  </si>
  <si>
    <t>I3</t>
  </si>
  <si>
    <t>Promedio evaluaciónes de taller</t>
  </si>
  <si>
    <t>I4</t>
  </si>
  <si>
    <t>Bonos</t>
  </si>
  <si>
    <t>NI &gt; 39.5</t>
  </si>
  <si>
    <t>NF &gt; 3.95</t>
  </si>
  <si>
    <t>Interogaciones</t>
  </si>
  <si>
    <t>Proyecto 1</t>
  </si>
  <si>
    <t>Proyecto 2</t>
  </si>
  <si>
    <t>Proyecto</t>
  </si>
  <si>
    <t>Proyecto 3</t>
  </si>
  <si>
    <t>NPE &gt; 50</t>
  </si>
  <si>
    <t>Detalle</t>
  </si>
  <si>
    <t>Seminarios</t>
  </si>
  <si>
    <t>Asistencia a seminarios</t>
  </si>
  <si>
    <t>Talleres y controles</t>
  </si>
  <si>
    <t>Seminario 1</t>
  </si>
  <si>
    <t>Trabajo grupal</t>
  </si>
  <si>
    <t>Seminario 2</t>
  </si>
  <si>
    <t>Interrogaciones</t>
  </si>
  <si>
    <t>Seminario 3</t>
  </si>
  <si>
    <t>Seminario 4</t>
  </si>
  <si>
    <t>Seminario 5</t>
  </si>
  <si>
    <t>Seminario 6</t>
  </si>
  <si>
    <t>Seminario 7</t>
  </si>
  <si>
    <t>Seminario 8</t>
  </si>
  <si>
    <t>Evaluación de pares</t>
  </si>
  <si>
    <t>Entrega trabajo oral</t>
  </si>
  <si>
    <t>Entrega trabajo escrito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</si>
</sst>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#,##0.0"/>
  </numFmts>
  <fonts count="12">
    <font>
      <sz val="10.0"/>
      <color rgb="FF000000"/>
      <name val="Arial"/>
      <scheme val="minor"/>
    </font>
    <font>
      <color theme="1"/>
      <name val="Calibri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sz val="11.0"/>
      <color theme="1"/>
      <name val="Calibri"/>
    </font>
    <font>
      <b/>
      <sz val="15.0"/>
      <color rgb="FFFFFFFF"/>
      <name val="Calibri"/>
    </font>
    <font>
      <b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 vertical="bottom"/>
    </xf>
    <xf borderId="10" fillId="0" fontId="1" numFmtId="164" xfId="0" applyAlignment="1" applyBorder="1" applyFont="1" applyNumberFormat="1">
      <alignment horizontal="center" readingOrder="0" vertical="bottom"/>
    </xf>
    <xf borderId="10" fillId="0" fontId="1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readingOrder="0" vertical="bottom"/>
    </xf>
    <xf borderId="10" fillId="0" fontId="1" numFmtId="164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readingOrder="0" vertical="top"/>
    </xf>
    <xf borderId="7" fillId="0" fontId="6" numFmtId="0" xfId="0" applyAlignment="1" applyBorder="1" applyFont="1">
      <alignment vertical="bottom"/>
    </xf>
    <xf borderId="10" fillId="0" fontId="6" numFmtId="2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0" fillId="2" fontId="5" numFmtId="0" xfId="0" applyAlignment="1" applyFill="1" applyFont="1">
      <alignment readingOrder="0"/>
    </xf>
    <xf borderId="1" fillId="2" fontId="7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vertical="bottom"/>
    </xf>
    <xf borderId="10" fillId="2" fontId="9" numFmtId="0" xfId="0" applyAlignment="1" applyBorder="1" applyFill="1" applyFont="1">
      <alignment readingOrder="0" vertical="bottom"/>
    </xf>
    <xf borderId="10" fillId="2" fontId="9" numFmtId="0" xfId="0" applyAlignment="1" applyBorder="1" applyFill="1" applyFont="1">
      <alignment vertical="bottom"/>
    </xf>
    <xf borderId="10" fillId="2" fontId="8" numFmtId="2" xfId="0" applyAlignment="1" applyBorder="1" applyFill="1" applyFont="1" applyNumberFormat="1">
      <alignment horizontal="center"/>
    </xf>
    <xf borderId="7" fillId="3" fontId="6" numFmtId="0" xfId="0" applyAlignment="1" applyBorder="1" applyFill="1" applyFont="1">
      <alignment horizontal="center" readingOrder="0" vertical="bottom"/>
    </xf>
    <xf borderId="10" fillId="3" fontId="6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/>
    </xf>
    <xf borderId="7" fillId="4" fontId="1" numFmtId="0" xfId="0" applyAlignment="1" applyBorder="1" applyFill="1" applyFont="1">
      <alignment vertical="bottom"/>
    </xf>
    <xf borderId="10" fillId="4" fontId="1" numFmtId="165" xfId="0" applyAlignment="1" applyBorder="1" applyFill="1" applyFont="1" applyNumberFormat="1">
      <alignment horizontal="center" readingOrder="0" vertical="bottom"/>
    </xf>
    <xf borderId="10" fillId="4" fontId="1" numFmtId="164" xfId="0" applyAlignment="1" applyBorder="1" applyFill="1" applyFont="1" applyNumberFormat="1">
      <alignment horizontal="center" readingOrder="0" vertical="bottom"/>
    </xf>
    <xf borderId="7" fillId="4" fontId="1" numFmtId="0" xfId="0" applyAlignment="1" applyBorder="1" applyFill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4" fontId="1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10" fillId="2" fontId="8" numFmtId="2" xfId="0" applyAlignment="1" applyBorder="1" applyFill="1" applyFont="1" applyNumberFormat="1">
      <alignment horizontal="center" readingOrder="0"/>
    </xf>
    <xf borderId="0" fillId="4" fontId="1" numFmtId="0" xfId="0" applyAlignment="1" applyFill="1" applyFont="1">
      <alignment readingOrder="0" vertical="bottom"/>
    </xf>
    <xf borderId="0" fillId="4" fontId="1" numFmtId="165" xfId="0" applyAlignment="1" applyFill="1" applyFont="1" applyNumberFormat="1">
      <alignment horizontal="center" readingOrder="0" vertical="bottom"/>
    </xf>
    <xf borderId="7" fillId="3" fontId="1" numFmtId="0" xfId="0" applyAlignment="1" applyBorder="1" applyFill="1" applyFont="1">
      <alignment readingOrder="0" vertical="bottom"/>
    </xf>
    <xf borderId="7" fillId="0" fontId="1" numFmtId="0" xfId="0" applyAlignment="1" applyBorder="1" applyFont="1">
      <alignment readingOrder="0"/>
    </xf>
    <xf borderId="10" fillId="0" fontId="1" numFmtId="165" xfId="0" applyAlignment="1" applyBorder="1" applyFont="1" applyNumberFormat="1">
      <alignment horizontal="center" readingOrder="0" vertical="bottom"/>
    </xf>
    <xf borderId="10" fillId="0" fontId="1" numFmtId="166" xfId="0" applyAlignment="1" applyBorder="1" applyFont="1" applyNumberFormat="1">
      <alignment horizontal="center"/>
    </xf>
    <xf borderId="0" fillId="5" fontId="7" numFmtId="0" xfId="0" applyAlignment="1" applyFill="1" applyFont="1">
      <alignment horizontal="left" vertical="center"/>
    </xf>
    <xf borderId="0" fillId="5" fontId="8" numFmtId="0" xfId="0" applyAlignment="1" applyFill="1" applyFont="1">
      <alignment vertical="bottom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6" width="16.38"/>
    <col customWidth="1" min="7" max="7" width="17.63"/>
    <col customWidth="1" min="8" max="9" width="16.38"/>
    <col customWidth="1" min="10" max="10" width="2.63"/>
    <col customWidth="1" min="21" max="2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5"/>
      <c r="C3" s="6"/>
      <c r="D3" s="6"/>
      <c r="E3" s="6"/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 t="s">
        <v>1</v>
      </c>
      <c r="C4" s="9"/>
      <c r="D4" s="9"/>
      <c r="E4" s="9"/>
      <c r="F4" s="10"/>
      <c r="G4" s="11" t="s">
        <v>2</v>
      </c>
      <c r="H4" s="12" t="s">
        <v>3</v>
      </c>
      <c r="I4" s="11" t="s">
        <v>4</v>
      </c>
      <c r="J4" s="1"/>
      <c r="K4" s="1"/>
      <c r="L4" s="1"/>
      <c r="M4" s="13"/>
      <c r="N4" s="1"/>
      <c r="O4" s="1"/>
      <c r="P4" s="1"/>
      <c r="Q4" s="1"/>
      <c r="R4" s="1"/>
    </row>
    <row r="5">
      <c r="A5" s="1"/>
      <c r="B5" s="14" t="s">
        <v>5</v>
      </c>
      <c r="C5" s="9"/>
      <c r="D5" s="9"/>
      <c r="E5" s="9"/>
      <c r="F5" s="10"/>
      <c r="G5" s="15">
        <f>I14</f>
        <v>53.92</v>
      </c>
      <c r="H5" s="16" t="str">
        <f t="shared" ref="H5:H9" si="1">IF(G5&gt;=4,"Aprobado","No aprobado")</f>
        <v>Aprobado</v>
      </c>
      <c r="I5" s="17">
        <v>10.0</v>
      </c>
      <c r="J5" s="1"/>
      <c r="K5" s="1"/>
      <c r="L5" s="1"/>
      <c r="M5" s="13"/>
      <c r="N5" s="1"/>
      <c r="O5" s="1"/>
      <c r="P5" s="1"/>
      <c r="Q5" s="1"/>
      <c r="R5" s="1"/>
    </row>
    <row r="6">
      <c r="A6" s="1"/>
      <c r="B6" s="14" t="s">
        <v>6</v>
      </c>
      <c r="C6" s="9"/>
      <c r="D6" s="9"/>
      <c r="E6" s="9"/>
      <c r="F6" s="10"/>
      <c r="G6" s="18">
        <f>I46</f>
        <v>43.9</v>
      </c>
      <c r="H6" s="16" t="str">
        <f t="shared" si="1"/>
        <v>Aprobado</v>
      </c>
      <c r="I6" s="17">
        <v>10.0</v>
      </c>
      <c r="J6" s="1"/>
      <c r="K6" s="1"/>
      <c r="L6" s="1"/>
      <c r="M6" s="13"/>
      <c r="N6" s="1"/>
      <c r="O6" s="1"/>
      <c r="P6" s="1"/>
      <c r="Q6" s="1"/>
      <c r="R6" s="1"/>
    </row>
    <row r="7">
      <c r="A7" s="1"/>
      <c r="B7" s="14" t="s">
        <v>7</v>
      </c>
      <c r="C7" s="9"/>
      <c r="D7" s="9"/>
      <c r="E7" s="9"/>
      <c r="F7" s="10"/>
      <c r="G7" s="18">
        <f>I65</f>
        <v>54</v>
      </c>
      <c r="H7" s="16" t="str">
        <f t="shared" si="1"/>
        <v>Aprobado</v>
      </c>
      <c r="I7" s="17">
        <v>10.0</v>
      </c>
      <c r="J7" s="1"/>
      <c r="K7" s="1"/>
      <c r="L7" s="1"/>
      <c r="M7" s="13"/>
      <c r="N7" s="1"/>
      <c r="O7" s="1"/>
      <c r="P7" s="1"/>
      <c r="Q7" s="1"/>
      <c r="R7" s="1"/>
    </row>
    <row r="8">
      <c r="A8" s="1"/>
      <c r="B8" s="19" t="s">
        <v>8</v>
      </c>
      <c r="C8" s="9"/>
      <c r="D8" s="9"/>
      <c r="E8" s="9"/>
      <c r="F8" s="10"/>
      <c r="G8" s="18">
        <f>I55</f>
        <v>50.2</v>
      </c>
      <c r="H8" s="16" t="str">
        <f t="shared" si="1"/>
        <v>Aprobado</v>
      </c>
      <c r="I8" s="17">
        <v>10.0</v>
      </c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20" t="s">
        <v>9</v>
      </c>
      <c r="C9" s="9"/>
      <c r="D9" s="9"/>
      <c r="E9" s="9"/>
      <c r="F9" s="10"/>
      <c r="G9" s="21">
        <f>AVERAGE(G5:G8)</f>
        <v>50.505</v>
      </c>
      <c r="H9" s="16" t="str">
        <f t="shared" si="1"/>
        <v>Aprobado</v>
      </c>
      <c r="I9" s="22">
        <f>SUM(I5:I8)</f>
        <v>40</v>
      </c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23" t="s">
        <v>10</v>
      </c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24" t="str">
        <f>B5</f>
        <v>IEE1533 Fundamentos de Teoría Electromagnética</v>
      </c>
      <c r="C13" s="3"/>
      <c r="D13" s="3"/>
      <c r="E13" s="3"/>
      <c r="F13" s="3"/>
      <c r="G13" s="25" t="s">
        <v>11</v>
      </c>
      <c r="H13" s="26" t="s">
        <v>12</v>
      </c>
      <c r="I13" s="27" t="s">
        <v>13</v>
      </c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5"/>
      <c r="C14" s="6"/>
      <c r="D14" s="6"/>
      <c r="E14" s="6"/>
      <c r="F14" s="6"/>
      <c r="G14" s="11">
        <f>I5</f>
        <v>10</v>
      </c>
      <c r="H14" s="28">
        <f>IFERROR(ROUND(SUMPRODUCT(D16:D20,E16:E20)/(SUMIF(E16:E20,"&gt;0",D16:D20)),0),"")</f>
        <v>49</v>
      </c>
      <c r="I14" s="28">
        <f>0.7*H14+0.3*E21</f>
        <v>53.92</v>
      </c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29" t="s">
        <v>14</v>
      </c>
      <c r="C15" s="9"/>
      <c r="D15" s="30" t="s">
        <v>15</v>
      </c>
      <c r="E15" s="30" t="s">
        <v>16</v>
      </c>
      <c r="F15" s="29" t="s">
        <v>17</v>
      </c>
      <c r="G15" s="9"/>
      <c r="H15" s="10"/>
      <c r="I15" s="30" t="s">
        <v>16</v>
      </c>
      <c r="J15" s="1"/>
      <c r="K15" s="31"/>
      <c r="M15" s="13"/>
      <c r="N15" s="1"/>
      <c r="O15" s="1"/>
      <c r="P15" s="1"/>
      <c r="Q15" s="1"/>
      <c r="R15" s="1"/>
    </row>
    <row r="16">
      <c r="A16" s="1"/>
      <c r="B16" s="32" t="s">
        <v>18</v>
      </c>
      <c r="C16" s="9"/>
      <c r="D16" s="33">
        <v>0.2</v>
      </c>
      <c r="E16" s="34">
        <v>58.0</v>
      </c>
      <c r="F16" s="35" t="s">
        <v>19</v>
      </c>
      <c r="G16" s="9"/>
      <c r="H16" s="10"/>
      <c r="I16" s="34">
        <v>60.0</v>
      </c>
      <c r="J16" s="1"/>
      <c r="K16" s="31"/>
      <c r="M16" s="13"/>
      <c r="N16" s="1"/>
      <c r="O16" s="1"/>
      <c r="P16" s="1"/>
      <c r="Q16" s="1"/>
      <c r="R16" s="1"/>
    </row>
    <row r="17">
      <c r="A17" s="1"/>
      <c r="B17" s="32" t="s">
        <v>20</v>
      </c>
      <c r="C17" s="9"/>
      <c r="D17" s="33">
        <v>0.2</v>
      </c>
      <c r="E17" s="34">
        <v>36.0</v>
      </c>
      <c r="F17" s="35" t="s">
        <v>21</v>
      </c>
      <c r="G17" s="9"/>
      <c r="H17" s="10"/>
      <c r="I17" s="34">
        <v>70.0</v>
      </c>
      <c r="J17" s="1"/>
      <c r="N17" s="1"/>
      <c r="O17" s="1"/>
      <c r="P17" s="1"/>
      <c r="Q17" s="1"/>
      <c r="R17" s="1"/>
    </row>
    <row r="18" ht="15.0" customHeight="1">
      <c r="A18" s="1"/>
      <c r="B18" s="32" t="s">
        <v>22</v>
      </c>
      <c r="C18" s="9"/>
      <c r="D18" s="33">
        <v>0.4</v>
      </c>
      <c r="E18" s="34">
        <v>45.0</v>
      </c>
      <c r="F18" s="35" t="s">
        <v>23</v>
      </c>
      <c r="G18" s="9"/>
      <c r="H18" s="10"/>
      <c r="I18" s="34">
        <v>66.0</v>
      </c>
      <c r="J18" s="1"/>
      <c r="K18" s="36"/>
      <c r="N18" s="36"/>
      <c r="O18" s="36"/>
      <c r="U18" s="36"/>
    </row>
    <row r="19">
      <c r="A19" s="1"/>
      <c r="B19" s="35" t="s">
        <v>24</v>
      </c>
      <c r="C19" s="9"/>
      <c r="D19" s="33">
        <v>0.1</v>
      </c>
      <c r="E19" s="34">
        <f>IF(COUNT(I23:I30) = 0, "", AVERAGE(I23:I30))
</f>
        <v>63.75</v>
      </c>
      <c r="F19" s="35" t="s">
        <v>25</v>
      </c>
      <c r="G19" s="9"/>
      <c r="H19" s="10"/>
      <c r="I19" s="34">
        <v>66.0</v>
      </c>
      <c r="J19" s="1"/>
      <c r="K19" s="37"/>
      <c r="N19" s="38"/>
      <c r="O19" s="38"/>
      <c r="U19" s="39"/>
    </row>
    <row r="20">
      <c r="A20" s="1"/>
      <c r="B20" s="35" t="s">
        <v>26</v>
      </c>
      <c r="C20" s="9"/>
      <c r="D20" s="33">
        <v>0.1</v>
      </c>
      <c r="E20" s="34">
        <f>IF(COUNT(I32:I41) = 0, "", AVERAGE(I32:I41))
</f>
        <v>53.3</v>
      </c>
      <c r="F20" s="35" t="s">
        <v>27</v>
      </c>
      <c r="G20" s="9"/>
      <c r="H20" s="10"/>
      <c r="I20" s="34">
        <v>65.0</v>
      </c>
      <c r="J20" s="1"/>
      <c r="K20" s="37"/>
      <c r="N20" s="38"/>
      <c r="O20" s="38"/>
      <c r="U20" s="39"/>
    </row>
    <row r="21">
      <c r="A21" s="1"/>
      <c r="B21" s="35" t="s">
        <v>28</v>
      </c>
      <c r="C21" s="9"/>
      <c r="D21" s="10"/>
      <c r="E21" s="34">
        <f>IF(COUNT(I16:I21) = 0, "", AVERAGE(I16:I21))
</f>
        <v>65.4</v>
      </c>
      <c r="F21" s="35"/>
      <c r="G21" s="9"/>
      <c r="H21" s="9"/>
      <c r="I21" s="10"/>
      <c r="J21" s="1"/>
      <c r="K21" s="37"/>
      <c r="N21" s="38"/>
      <c r="O21" s="38"/>
      <c r="U21" s="39"/>
    </row>
    <row r="22">
      <c r="A22" s="1"/>
      <c r="F22" s="29" t="s">
        <v>29</v>
      </c>
      <c r="G22" s="9"/>
      <c r="H22" s="10"/>
      <c r="I22" s="30" t="s">
        <v>16</v>
      </c>
      <c r="J22" s="1"/>
      <c r="K22" s="37"/>
      <c r="N22" s="38"/>
      <c r="O22" s="38"/>
      <c r="U22" s="39"/>
    </row>
    <row r="23">
      <c r="A23" s="1"/>
      <c r="F23" s="35" t="s">
        <v>30</v>
      </c>
      <c r="G23" s="9"/>
      <c r="H23" s="10"/>
      <c r="I23" s="34">
        <v>70.0</v>
      </c>
      <c r="J23" s="1"/>
      <c r="K23" s="37"/>
      <c r="N23" s="38"/>
      <c r="O23" s="38"/>
      <c r="U23" s="39"/>
    </row>
    <row r="24">
      <c r="A24" s="1"/>
      <c r="F24" s="35" t="s">
        <v>31</v>
      </c>
      <c r="G24" s="9"/>
      <c r="H24" s="10"/>
      <c r="I24" s="34">
        <v>70.0</v>
      </c>
      <c r="J24" s="1"/>
      <c r="K24" s="37"/>
      <c r="N24" s="38"/>
      <c r="O24" s="38"/>
      <c r="U24" s="39"/>
    </row>
    <row r="25">
      <c r="A25" s="1"/>
      <c r="F25" s="35" t="s">
        <v>32</v>
      </c>
      <c r="G25" s="9"/>
      <c r="H25" s="10"/>
      <c r="I25" s="34">
        <v>70.0</v>
      </c>
      <c r="J25" s="1"/>
      <c r="K25" s="37"/>
      <c r="N25" s="38"/>
      <c r="O25" s="38"/>
      <c r="U25" s="39"/>
    </row>
    <row r="26">
      <c r="A26" s="1"/>
      <c r="F26" s="35" t="s">
        <v>33</v>
      </c>
      <c r="G26" s="9"/>
      <c r="H26" s="10"/>
      <c r="I26" s="34">
        <v>70.0</v>
      </c>
      <c r="J26" s="1"/>
      <c r="K26" s="37"/>
      <c r="N26" s="38"/>
      <c r="O26" s="38"/>
      <c r="U26" s="39"/>
    </row>
    <row r="27">
      <c r="A27" s="1"/>
      <c r="F27" s="35" t="s">
        <v>34</v>
      </c>
      <c r="G27" s="9"/>
      <c r="H27" s="10"/>
      <c r="I27" s="34">
        <v>65.0</v>
      </c>
      <c r="J27" s="1"/>
      <c r="K27" s="37"/>
      <c r="N27" s="38"/>
      <c r="O27" s="38"/>
      <c r="U27" s="39"/>
    </row>
    <row r="28">
      <c r="A28" s="1"/>
      <c r="F28" s="35" t="s">
        <v>35</v>
      </c>
      <c r="G28" s="9"/>
      <c r="H28" s="10"/>
      <c r="I28" s="34">
        <v>65.0</v>
      </c>
      <c r="J28" s="1"/>
      <c r="K28" s="37"/>
      <c r="N28" s="38"/>
      <c r="O28" s="38"/>
      <c r="U28" s="39"/>
    </row>
    <row r="29">
      <c r="A29" s="1"/>
      <c r="F29" s="35" t="s">
        <v>36</v>
      </c>
      <c r="G29" s="9"/>
      <c r="H29" s="10"/>
      <c r="I29" s="34">
        <v>50.0</v>
      </c>
      <c r="J29" s="1"/>
      <c r="K29" s="37"/>
      <c r="N29" s="38"/>
      <c r="O29" s="38"/>
      <c r="U29" s="39"/>
    </row>
    <row r="30">
      <c r="A30" s="1"/>
      <c r="F30" s="35" t="s">
        <v>37</v>
      </c>
      <c r="G30" s="9"/>
      <c r="H30" s="10"/>
      <c r="I30" s="34">
        <v>50.0</v>
      </c>
      <c r="J30" s="1"/>
      <c r="K30" s="37"/>
      <c r="N30" s="38"/>
      <c r="O30" s="38"/>
      <c r="U30" s="39"/>
    </row>
    <row r="31">
      <c r="A31" s="1"/>
      <c r="F31" s="29" t="s">
        <v>38</v>
      </c>
      <c r="G31" s="9"/>
      <c r="H31" s="10"/>
      <c r="I31" s="30" t="s">
        <v>16</v>
      </c>
      <c r="J31" s="1"/>
      <c r="K31" s="40"/>
      <c r="N31" s="38"/>
      <c r="O31" s="38"/>
      <c r="U31" s="39"/>
    </row>
    <row r="32">
      <c r="A32" s="1"/>
      <c r="F32" s="35" t="s">
        <v>39</v>
      </c>
      <c r="G32" s="9"/>
      <c r="H32" s="10"/>
      <c r="I32" s="34">
        <v>70.0</v>
      </c>
      <c r="J32" s="1"/>
      <c r="K32" s="40"/>
      <c r="N32" s="38"/>
      <c r="O32" s="38"/>
      <c r="U32" s="39"/>
    </row>
    <row r="33">
      <c r="A33" s="1"/>
      <c r="F33" s="35" t="s">
        <v>40</v>
      </c>
      <c r="G33" s="9"/>
      <c r="H33" s="10"/>
      <c r="I33" s="34">
        <v>70.0</v>
      </c>
      <c r="J33" s="1"/>
      <c r="K33" s="40"/>
      <c r="N33" s="38"/>
      <c r="O33" s="38"/>
      <c r="U33" s="39"/>
    </row>
    <row r="34">
      <c r="A34" s="1"/>
      <c r="F34" s="35" t="s">
        <v>41</v>
      </c>
      <c r="G34" s="9"/>
      <c r="H34" s="10"/>
      <c r="I34" s="34">
        <v>63.0</v>
      </c>
      <c r="J34" s="1"/>
      <c r="K34" s="40"/>
      <c r="N34" s="38"/>
      <c r="O34" s="38"/>
      <c r="U34" s="39"/>
    </row>
    <row r="35">
      <c r="F35" s="35" t="s">
        <v>42</v>
      </c>
      <c r="G35" s="9"/>
      <c r="H35" s="10"/>
      <c r="I35" s="34">
        <v>60.0</v>
      </c>
      <c r="K35" s="40"/>
      <c r="N35" s="38"/>
      <c r="O35" s="38"/>
      <c r="U35" s="39"/>
    </row>
    <row r="36">
      <c r="F36" s="35" t="s">
        <v>43</v>
      </c>
      <c r="G36" s="9"/>
      <c r="H36" s="10"/>
      <c r="I36" s="34">
        <v>60.0</v>
      </c>
    </row>
    <row r="37">
      <c r="F37" s="35" t="s">
        <v>44</v>
      </c>
      <c r="G37" s="9"/>
      <c r="H37" s="10"/>
      <c r="I37" s="34">
        <v>50.0</v>
      </c>
    </row>
    <row r="38">
      <c r="F38" s="35" t="s">
        <v>45</v>
      </c>
      <c r="G38" s="9"/>
      <c r="H38" s="10"/>
      <c r="I38" s="34">
        <v>50.0</v>
      </c>
    </row>
    <row r="39">
      <c r="F39" s="35" t="s">
        <v>46</v>
      </c>
      <c r="G39" s="9"/>
      <c r="H39" s="10"/>
      <c r="I39" s="34">
        <v>40.0</v>
      </c>
    </row>
    <row r="40">
      <c r="F40" s="35" t="s">
        <v>47</v>
      </c>
      <c r="G40" s="9"/>
      <c r="H40" s="10"/>
      <c r="I40" s="34">
        <v>40.0</v>
      </c>
    </row>
    <row r="41">
      <c r="F41" s="35" t="s">
        <v>48</v>
      </c>
      <c r="G41" s="9"/>
      <c r="H41" s="10"/>
      <c r="I41" s="34">
        <v>30.0</v>
      </c>
    </row>
    <row r="42">
      <c r="F42" s="35" t="s">
        <v>49</v>
      </c>
      <c r="G42" s="9"/>
      <c r="H42" s="10"/>
      <c r="I42" s="34">
        <v>30.0</v>
      </c>
    </row>
    <row r="43">
      <c r="F43" s="35" t="s">
        <v>50</v>
      </c>
      <c r="G43" s="9"/>
      <c r="H43" s="10"/>
      <c r="I43" s="34">
        <v>20.0</v>
      </c>
    </row>
    <row r="45">
      <c r="B45" s="24" t="str">
        <f>B6</f>
        <v>EYP1113 Probabilidades y Estadística</v>
      </c>
      <c r="C45" s="3"/>
      <c r="D45" s="3"/>
      <c r="E45" s="3"/>
      <c r="F45" s="3"/>
      <c r="G45" s="4"/>
      <c r="H45" s="25" t="s">
        <v>11</v>
      </c>
      <c r="I45" s="27" t="s">
        <v>13</v>
      </c>
    </row>
    <row r="46">
      <c r="B46" s="5"/>
      <c r="C46" s="6"/>
      <c r="D46" s="6"/>
      <c r="E46" s="6"/>
      <c r="F46" s="6"/>
      <c r="G46" s="7"/>
      <c r="H46" s="11">
        <f>I6</f>
        <v>10</v>
      </c>
      <c r="I46" s="28">
        <f>IF(COUNT(E48:E52) = 0, "", 0.8*AVERAGE(E48:E51)+0.2*MIN(70,E52+I51))</f>
        <v>43.9</v>
      </c>
    </row>
    <row r="47">
      <c r="B47" s="29" t="s">
        <v>14</v>
      </c>
      <c r="C47" s="9"/>
      <c r="D47" s="10"/>
      <c r="E47" s="30" t="s">
        <v>16</v>
      </c>
      <c r="F47" s="29" t="s">
        <v>51</v>
      </c>
      <c r="G47" s="9"/>
      <c r="H47" s="30" t="s">
        <v>15</v>
      </c>
      <c r="I47" s="30" t="s">
        <v>16</v>
      </c>
    </row>
    <row r="48">
      <c r="B48" s="32" t="s">
        <v>18</v>
      </c>
      <c r="C48" s="9"/>
      <c r="D48" s="10"/>
      <c r="E48" s="34">
        <v>28.0</v>
      </c>
      <c r="F48" s="35" t="s">
        <v>52</v>
      </c>
      <c r="G48" s="9"/>
      <c r="H48" s="10"/>
      <c r="I48" s="34">
        <v>60.0</v>
      </c>
    </row>
    <row r="49">
      <c r="B49" s="32" t="s">
        <v>20</v>
      </c>
      <c r="C49" s="9"/>
      <c r="D49" s="10"/>
      <c r="E49" s="34">
        <v>33.0</v>
      </c>
      <c r="F49" s="35" t="s">
        <v>53</v>
      </c>
      <c r="G49" s="9"/>
      <c r="H49" s="10"/>
      <c r="I49" s="34">
        <v>59.0</v>
      </c>
    </row>
    <row r="50">
      <c r="B50" s="32" t="s">
        <v>54</v>
      </c>
      <c r="C50" s="9"/>
      <c r="D50" s="10"/>
      <c r="E50" s="34">
        <v>44.0</v>
      </c>
      <c r="F50" s="35" t="s">
        <v>55</v>
      </c>
      <c r="G50" s="9"/>
      <c r="H50" s="10"/>
      <c r="I50" s="34">
        <f>IF(COUNT(I48:I49) = 0, "", AVERAGE(I48:I49))
</f>
        <v>59.5</v>
      </c>
    </row>
    <row r="51">
      <c r="B51" s="35" t="s">
        <v>56</v>
      </c>
      <c r="C51" s="9"/>
      <c r="D51" s="10"/>
      <c r="E51" s="34">
        <v>45.0</v>
      </c>
      <c r="F51" s="35" t="s">
        <v>57</v>
      </c>
      <c r="G51" s="9"/>
      <c r="H51" s="10"/>
      <c r="I51" s="34">
        <v>5.0</v>
      </c>
    </row>
    <row r="52">
      <c r="B52" s="35" t="s">
        <v>28</v>
      </c>
      <c r="C52" s="9"/>
      <c r="D52" s="10"/>
      <c r="E52" s="34">
        <f>min(70,I50+I51)</f>
        <v>64.5</v>
      </c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24" t="str">
        <f>B8</f>
        <v>ICH1104 Mecánica de Fluidos</v>
      </c>
      <c r="C54" s="3"/>
      <c r="D54" s="3"/>
      <c r="E54" s="3"/>
      <c r="F54" s="3"/>
      <c r="G54" s="25" t="s">
        <v>11</v>
      </c>
      <c r="H54" s="26" t="s">
        <v>58</v>
      </c>
      <c r="I54" s="26" t="s">
        <v>59</v>
      </c>
    </row>
    <row r="55">
      <c r="B55" s="5"/>
      <c r="C55" s="6"/>
      <c r="D55" s="6"/>
      <c r="E55" s="6"/>
      <c r="F55" s="6"/>
      <c r="G55" s="12">
        <f>I8</f>
        <v>10</v>
      </c>
      <c r="H55" s="41">
        <v>47.4</v>
      </c>
      <c r="I55" s="41">
        <v>50.2</v>
      </c>
    </row>
    <row r="56">
      <c r="B56" s="29" t="s">
        <v>14</v>
      </c>
      <c r="C56" s="9"/>
      <c r="D56" s="30" t="s">
        <v>15</v>
      </c>
      <c r="E56" s="30" t="s">
        <v>16</v>
      </c>
      <c r="F56" s="29" t="s">
        <v>24</v>
      </c>
      <c r="G56" s="9"/>
      <c r="H56" s="30" t="s">
        <v>15</v>
      </c>
      <c r="I56" s="30" t="s">
        <v>16</v>
      </c>
    </row>
    <row r="57">
      <c r="B57" s="32" t="s">
        <v>18</v>
      </c>
      <c r="C57" s="9"/>
      <c r="D57" s="10"/>
      <c r="E57" s="34">
        <v>46.0</v>
      </c>
      <c r="F57" s="35" t="s">
        <v>30</v>
      </c>
      <c r="G57" s="9"/>
      <c r="H57" s="10"/>
      <c r="I57" s="34">
        <v>60.0</v>
      </c>
    </row>
    <row r="58">
      <c r="A58" s="1"/>
      <c r="B58" s="32" t="s">
        <v>20</v>
      </c>
      <c r="C58" s="9"/>
      <c r="D58" s="10"/>
      <c r="E58" s="34">
        <v>46.7</v>
      </c>
      <c r="F58" s="35" t="s">
        <v>31</v>
      </c>
      <c r="G58" s="9"/>
      <c r="H58" s="10"/>
      <c r="I58" s="34">
        <v>51.0</v>
      </c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35" t="s">
        <v>60</v>
      </c>
      <c r="C59" s="10"/>
      <c r="D59" s="33">
        <v>0.5</v>
      </c>
      <c r="E59" s="34">
        <f>IF(COUNT(E57:E58) = 0, "", AVERAGE(E57:E58))
</f>
        <v>46.35</v>
      </c>
      <c r="F59" s="35" t="s">
        <v>32</v>
      </c>
      <c r="G59" s="9"/>
      <c r="H59" s="10"/>
      <c r="I59" s="34"/>
      <c r="J59" s="1"/>
      <c r="K59" s="42"/>
      <c r="M59" s="43"/>
      <c r="N59" s="39"/>
      <c r="O59" s="39"/>
      <c r="P59" s="1"/>
      <c r="Q59" s="1"/>
      <c r="R59" s="1"/>
    </row>
    <row r="60">
      <c r="A60" s="1"/>
      <c r="B60" s="32" t="s">
        <v>22</v>
      </c>
      <c r="C60" s="10"/>
      <c r="D60" s="33">
        <v>0.25</v>
      </c>
      <c r="E60" s="34">
        <v>30.0</v>
      </c>
      <c r="F60" s="35" t="s">
        <v>61</v>
      </c>
      <c r="G60" s="9"/>
      <c r="H60" s="10"/>
      <c r="I60" s="34">
        <v>60.0</v>
      </c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35" t="s">
        <v>24</v>
      </c>
      <c r="C61" s="10"/>
      <c r="D61" s="33">
        <v>0.25</v>
      </c>
      <c r="E61" s="34">
        <f>IF(COUNT(I57:I59) = 0, "", AVERAGE(I57:I59))
</f>
        <v>55.5</v>
      </c>
      <c r="F61" s="35" t="s">
        <v>62</v>
      </c>
      <c r="G61" s="9"/>
      <c r="H61" s="10"/>
      <c r="I61" s="34">
        <v>60.0</v>
      </c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35" t="s">
        <v>63</v>
      </c>
      <c r="C62" s="9"/>
      <c r="D62" s="10"/>
      <c r="E62" s="34">
        <v>61.0</v>
      </c>
      <c r="F62" s="35" t="s">
        <v>64</v>
      </c>
      <c r="G62" s="9"/>
      <c r="H62" s="10"/>
      <c r="I62" s="34">
        <v>65.0</v>
      </c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24" t="str">
        <f>B7</f>
        <v>BIO141C Biología de la Célula</v>
      </c>
      <c r="C64" s="3"/>
      <c r="D64" s="3"/>
      <c r="E64" s="3"/>
      <c r="F64" s="3"/>
      <c r="G64" s="25" t="s">
        <v>11</v>
      </c>
      <c r="H64" s="26" t="s">
        <v>65</v>
      </c>
      <c r="I64" s="27" t="s">
        <v>13</v>
      </c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5"/>
      <c r="C65" s="6"/>
      <c r="D65" s="6"/>
      <c r="E65" s="6"/>
      <c r="F65" s="6"/>
      <c r="G65" s="12">
        <f>I7</f>
        <v>10</v>
      </c>
      <c r="H65" s="28">
        <f>IFERROR(ROUND(SUMPRODUCT(D67:D70,E67:E70)/(SUMIF(E67:E70,"&gt;0",D67:D70)),0),"")</f>
        <v>54</v>
      </c>
      <c r="I65" s="28">
        <f>H65</f>
        <v>54</v>
      </c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29" t="s">
        <v>14</v>
      </c>
      <c r="C66" s="9"/>
      <c r="D66" s="30" t="s">
        <v>15</v>
      </c>
      <c r="E66" s="30" t="s">
        <v>16</v>
      </c>
      <c r="F66" s="29" t="s">
        <v>66</v>
      </c>
      <c r="G66" s="9"/>
      <c r="H66" s="30" t="s">
        <v>15</v>
      </c>
      <c r="I66" s="30" t="s">
        <v>16</v>
      </c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35" t="s">
        <v>67</v>
      </c>
      <c r="C67" s="9"/>
      <c r="D67" s="33">
        <v>0.1</v>
      </c>
      <c r="E67" s="34">
        <f>IF(COUNT(I68:I75) = 0, "", AVERAGE(I68:I75))
</f>
        <v>70</v>
      </c>
      <c r="F67" s="44" t="s">
        <v>68</v>
      </c>
      <c r="G67" s="9"/>
      <c r="H67" s="9"/>
      <c r="I67" s="10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35" t="s">
        <v>69</v>
      </c>
      <c r="C68" s="9"/>
      <c r="D68" s="33">
        <v>0.15</v>
      </c>
      <c r="E68" s="34">
        <v>58.0</v>
      </c>
      <c r="F68" s="35" t="s">
        <v>70</v>
      </c>
      <c r="G68" s="9"/>
      <c r="H68" s="10"/>
      <c r="I68" s="34">
        <v>70.0</v>
      </c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35" t="s">
        <v>71</v>
      </c>
      <c r="C69" s="9"/>
      <c r="D69" s="33">
        <v>0.3</v>
      </c>
      <c r="E69" s="34">
        <f>IF(COUNT(I77:I79) = 0, "", AVERAGE(I77:I79))
</f>
        <v>60</v>
      </c>
      <c r="F69" s="35" t="s">
        <v>72</v>
      </c>
      <c r="G69" s="9"/>
      <c r="H69" s="10"/>
      <c r="I69" s="34">
        <v>70.0</v>
      </c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45" t="s">
        <v>73</v>
      </c>
      <c r="C70" s="10"/>
      <c r="D70" s="46">
        <v>0.45</v>
      </c>
      <c r="E70" s="47">
        <f>IF(COUNT(I81:I83) = 0, "", AVERAGE(I81:I83))
</f>
        <v>44.33333333</v>
      </c>
      <c r="F70" s="35" t="s">
        <v>74</v>
      </c>
      <c r="G70" s="9"/>
      <c r="H70" s="10"/>
      <c r="I70" s="34">
        <v>70.0</v>
      </c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32" t="s">
        <v>22</v>
      </c>
      <c r="C71" s="9"/>
      <c r="D71" s="10"/>
      <c r="E71" s="34"/>
      <c r="F71" s="35" t="s">
        <v>75</v>
      </c>
      <c r="G71" s="9"/>
      <c r="H71" s="10"/>
      <c r="I71" s="34">
        <v>70.0</v>
      </c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35" t="s">
        <v>76</v>
      </c>
      <c r="G72" s="9"/>
      <c r="H72" s="10"/>
      <c r="I72" s="34">
        <v>70.0</v>
      </c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35" t="s">
        <v>77</v>
      </c>
      <c r="G73" s="9"/>
      <c r="H73" s="10"/>
      <c r="I73" s="34">
        <v>70.0</v>
      </c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35" t="s">
        <v>78</v>
      </c>
      <c r="G74" s="9"/>
      <c r="H74" s="10"/>
      <c r="I74" s="34">
        <v>70.0</v>
      </c>
      <c r="J74" s="1"/>
      <c r="K74" s="48"/>
      <c r="Q74" s="49"/>
      <c r="R74" s="49"/>
      <c r="S74" s="49"/>
      <c r="T74" s="49"/>
      <c r="U74" s="49"/>
    </row>
    <row r="75">
      <c r="A75" s="1"/>
      <c r="B75" s="1"/>
      <c r="C75" s="1"/>
      <c r="D75" s="1"/>
      <c r="E75" s="1"/>
      <c r="F75" s="35" t="s">
        <v>79</v>
      </c>
      <c r="G75" s="9"/>
      <c r="H75" s="10"/>
      <c r="I75" s="34">
        <v>70.0</v>
      </c>
      <c r="J75" s="1"/>
      <c r="K75" s="48"/>
      <c r="Q75" s="49"/>
      <c r="R75" s="49"/>
      <c r="S75" s="49"/>
      <c r="T75" s="49"/>
      <c r="U75" s="49"/>
    </row>
    <row r="76">
      <c r="A76" s="1"/>
      <c r="B76" s="1"/>
      <c r="C76" s="1"/>
      <c r="D76" s="1"/>
      <c r="E76" s="1"/>
      <c r="F76" s="44" t="s">
        <v>71</v>
      </c>
      <c r="G76" s="9"/>
      <c r="H76" s="9"/>
      <c r="I76" s="10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35" t="s">
        <v>80</v>
      </c>
      <c r="G77" s="9"/>
      <c r="H77" s="10"/>
      <c r="I77" s="34">
        <v>70.0</v>
      </c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35" t="s">
        <v>81</v>
      </c>
      <c r="G78" s="9"/>
      <c r="H78" s="10"/>
      <c r="I78" s="34">
        <v>55.0</v>
      </c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35" t="s">
        <v>82</v>
      </c>
      <c r="G79" s="9"/>
      <c r="H79" s="10"/>
      <c r="I79" s="34">
        <v>55.0</v>
      </c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44" t="s">
        <v>73</v>
      </c>
      <c r="G80" s="9"/>
      <c r="H80" s="9"/>
      <c r="I80" s="10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32" t="s">
        <v>18</v>
      </c>
      <c r="G81" s="9"/>
      <c r="H81" s="10"/>
      <c r="I81" s="34">
        <v>39.0</v>
      </c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32" t="s">
        <v>20</v>
      </c>
      <c r="G82" s="9"/>
      <c r="H82" s="10"/>
      <c r="I82" s="34">
        <v>50.0</v>
      </c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32" t="s">
        <v>54</v>
      </c>
      <c r="G83" s="9"/>
      <c r="H83" s="10"/>
      <c r="I83" s="34">
        <v>44.0</v>
      </c>
      <c r="J83" s="1"/>
      <c r="K83" s="1"/>
      <c r="L83" s="1"/>
      <c r="M83" s="1"/>
      <c r="N83" s="1"/>
      <c r="O83" s="1"/>
      <c r="P83" s="1"/>
      <c r="Q83" s="1"/>
      <c r="R83" s="1"/>
    </row>
  </sheetData>
  <mergeCells count="120">
    <mergeCell ref="K32:M32"/>
    <mergeCell ref="K33:M33"/>
    <mergeCell ref="K25:M25"/>
    <mergeCell ref="K26:M26"/>
    <mergeCell ref="K27:M27"/>
    <mergeCell ref="K28:M28"/>
    <mergeCell ref="K29:M29"/>
    <mergeCell ref="K30:M30"/>
    <mergeCell ref="K31:M31"/>
    <mergeCell ref="K34:M34"/>
    <mergeCell ref="K35:M35"/>
    <mergeCell ref="K59:L59"/>
    <mergeCell ref="K18:M18"/>
    <mergeCell ref="K19:M19"/>
    <mergeCell ref="K20:M20"/>
    <mergeCell ref="K21:M21"/>
    <mergeCell ref="K22:M22"/>
    <mergeCell ref="K23:M23"/>
    <mergeCell ref="K24:M24"/>
    <mergeCell ref="B2:I3"/>
    <mergeCell ref="B4:F4"/>
    <mergeCell ref="B5:F5"/>
    <mergeCell ref="B6:F6"/>
    <mergeCell ref="B7:F7"/>
    <mergeCell ref="B8:F8"/>
    <mergeCell ref="B9:F9"/>
    <mergeCell ref="B11:I11"/>
    <mergeCell ref="B13:F14"/>
    <mergeCell ref="B15:C15"/>
    <mergeCell ref="F15:H15"/>
    <mergeCell ref="K15:L15"/>
    <mergeCell ref="F16:H16"/>
    <mergeCell ref="K16:L16"/>
    <mergeCell ref="B21:D21"/>
    <mergeCell ref="F21:I21"/>
    <mergeCell ref="B16:C16"/>
    <mergeCell ref="B17:C17"/>
    <mergeCell ref="F17:H17"/>
    <mergeCell ref="B18:C18"/>
    <mergeCell ref="F18:H18"/>
    <mergeCell ref="B19:C19"/>
    <mergeCell ref="B20:C20"/>
    <mergeCell ref="F19:H19"/>
    <mergeCell ref="F20:H20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B70:C70"/>
    <mergeCell ref="B71:D71"/>
    <mergeCell ref="K74:P74"/>
    <mergeCell ref="K75:P75"/>
    <mergeCell ref="F76:I76"/>
    <mergeCell ref="B67:C67"/>
    <mergeCell ref="F67:I67"/>
    <mergeCell ref="B68:C68"/>
    <mergeCell ref="F68:H68"/>
    <mergeCell ref="B69:C69"/>
    <mergeCell ref="F69:H69"/>
    <mergeCell ref="F70:H70"/>
    <mergeCell ref="F49:H49"/>
    <mergeCell ref="F50:H50"/>
    <mergeCell ref="F51:H51"/>
    <mergeCell ref="F41:H41"/>
    <mergeCell ref="F42:H42"/>
    <mergeCell ref="F43:H43"/>
    <mergeCell ref="B45:G46"/>
    <mergeCell ref="B47:D47"/>
    <mergeCell ref="F47:G47"/>
    <mergeCell ref="F48:H48"/>
    <mergeCell ref="B48:D48"/>
    <mergeCell ref="B49:D49"/>
    <mergeCell ref="B50:D50"/>
    <mergeCell ref="B51:D51"/>
    <mergeCell ref="B52:D52"/>
    <mergeCell ref="B54:F55"/>
    <mergeCell ref="F56:G56"/>
    <mergeCell ref="F59:H59"/>
    <mergeCell ref="F60:H60"/>
    <mergeCell ref="B56:C56"/>
    <mergeCell ref="B57:D57"/>
    <mergeCell ref="F57:H57"/>
    <mergeCell ref="B58:D58"/>
    <mergeCell ref="F58:H58"/>
    <mergeCell ref="B59:C59"/>
    <mergeCell ref="B60:C60"/>
    <mergeCell ref="B61:C61"/>
    <mergeCell ref="F61:H61"/>
    <mergeCell ref="B62:D62"/>
    <mergeCell ref="F62:H62"/>
    <mergeCell ref="B64:F65"/>
    <mergeCell ref="B66:C66"/>
    <mergeCell ref="F66:G66"/>
    <mergeCell ref="F79:H79"/>
    <mergeCell ref="F80:I80"/>
    <mergeCell ref="F81:H81"/>
    <mergeCell ref="F82:H82"/>
    <mergeCell ref="F83:H83"/>
    <mergeCell ref="F71:H71"/>
    <mergeCell ref="F72:H72"/>
    <mergeCell ref="F73:H73"/>
    <mergeCell ref="F74:H74"/>
    <mergeCell ref="F75:H75"/>
    <mergeCell ref="F77:H77"/>
    <mergeCell ref="F78:H78"/>
  </mergeCells>
  <conditionalFormatting sqref="N59:O59 E61:E63 E66:E75">
    <cfRule type="cellIs" dxfId="0" priority="1" operator="lessThan">
      <formula>40</formula>
    </cfRule>
  </conditionalFormatting>
  <conditionalFormatting sqref="N59:O59 E61:E63 E66:E75">
    <cfRule type="cellIs" dxfId="1" priority="2" operator="greaterThanOrEqual">
      <formula>40</formula>
    </cfRule>
  </conditionalFormatting>
  <drawing r:id="rId1"/>
</worksheet>
</file>