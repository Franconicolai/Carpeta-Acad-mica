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académica" sheetId="1" r:id="rId5"/>
  </sheets>
  <definedNames/>
  <calcPr/>
</workbook>
</file>

<file path=xl/sharedStrings.xml><?xml version="1.0" encoding="utf-8"?>
<sst xmlns="http://schemas.openxmlformats.org/spreadsheetml/2006/main" count="154" uniqueCount="103">
  <si>
    <t>Libro de calificaciones</t>
  </si>
  <si>
    <t>Ramos</t>
  </si>
  <si>
    <t>Promedio</t>
  </si>
  <si>
    <t>Estado</t>
  </si>
  <si>
    <t>Creditos</t>
  </si>
  <si>
    <t>ICS2523 Modelos Estocásticos</t>
  </si>
  <si>
    <t>ICS2523 Microeconomía</t>
  </si>
  <si>
    <t>IIC2233 Programación Avanzada</t>
  </si>
  <si>
    <t>IIC2713 Sistemas de Información</t>
  </si>
  <si>
    <t>EAG170A Resolución Creativa de Problemas</t>
  </si>
  <si>
    <t>TTF115 Virgen María y Feminismo: ¿Diálogo o Confrontación?</t>
  </si>
  <si>
    <t xml:space="preserve">Promedio general </t>
  </si>
  <si>
    <t>Detalle de calificaciónes</t>
  </si>
  <si>
    <t>Créditos:</t>
  </si>
  <si>
    <t>Nota prueba &gt;= 3.95</t>
  </si>
  <si>
    <t>Nota tarea  &gt;= 3.95</t>
  </si>
  <si>
    <t>Nota final  &gt;= 3.95</t>
  </si>
  <si>
    <t>Evaluaciónes de catedra</t>
  </si>
  <si>
    <t>Notas</t>
  </si>
  <si>
    <t>Tareas</t>
  </si>
  <si>
    <t>I1</t>
  </si>
  <si>
    <t>Tarea 1</t>
  </si>
  <si>
    <t>I2</t>
  </si>
  <si>
    <t>Tarea 2</t>
  </si>
  <si>
    <t>Examen</t>
  </si>
  <si>
    <t>Tarea 3</t>
  </si>
  <si>
    <t>Tarea 4</t>
  </si>
  <si>
    <t>GbE</t>
  </si>
  <si>
    <t>Final grade &gt; 3.94</t>
  </si>
  <si>
    <t>Assignments meme and videos</t>
  </si>
  <si>
    <t>Assignments meme and videos (AgMV)</t>
  </si>
  <si>
    <t>Meme 1</t>
  </si>
  <si>
    <t>Test avarage (TA) &gt; 5.2 for exempt from the exam</t>
  </si>
  <si>
    <t>Meme 2</t>
  </si>
  <si>
    <t>Assignments (AgA) &gt; 3.94</t>
  </si>
  <si>
    <t>Meme 3</t>
  </si>
  <si>
    <t>Exam</t>
  </si>
  <si>
    <t>Meme 4</t>
  </si>
  <si>
    <t>Bonus Meme</t>
  </si>
  <si>
    <t>Video 1</t>
  </si>
  <si>
    <t>Video 2</t>
  </si>
  <si>
    <t>Video 3</t>
  </si>
  <si>
    <t>Test</t>
  </si>
  <si>
    <t>Test 1</t>
  </si>
  <si>
    <t>Test 2</t>
  </si>
  <si>
    <t>Test 3</t>
  </si>
  <si>
    <t>Test 4</t>
  </si>
  <si>
    <t>Test 5</t>
  </si>
  <si>
    <t>Assignment</t>
  </si>
  <si>
    <t>Assignment 1</t>
  </si>
  <si>
    <t>Assignment 2</t>
  </si>
  <si>
    <t>Assignment 3</t>
  </si>
  <si>
    <t>Nota final &gt;= 3.95</t>
  </si>
  <si>
    <t>Nota final (no ref.)</t>
  </si>
  <si>
    <t xml:space="preserve">Evaluaciónes </t>
  </si>
  <si>
    <t>%</t>
  </si>
  <si>
    <t>Evaluaciones en horario de cátedra</t>
  </si>
  <si>
    <t>Puntos &gt;= 36</t>
  </si>
  <si>
    <t>Nota de catédra</t>
  </si>
  <si>
    <t>AC: Actividad de programación 0</t>
  </si>
  <si>
    <t>Evaluaciónes escritas &gt;= 3.95</t>
  </si>
  <si>
    <t>AC: Actividad de programación 1</t>
  </si>
  <si>
    <t>Tareas &gt;= 3.95</t>
  </si>
  <si>
    <t>AC: Actividad de programación 2</t>
  </si>
  <si>
    <t>AC: Actividad de programación 3</t>
  </si>
  <si>
    <t>AC: Actividad de programación 4</t>
  </si>
  <si>
    <t>AC: Actividad de programación 5</t>
  </si>
  <si>
    <t>AC: Actividad de programación 6</t>
  </si>
  <si>
    <t>AC: Actividad de programación 7</t>
  </si>
  <si>
    <t>AC: Actividad de programación 8</t>
  </si>
  <si>
    <t>CS: Control de salida 1</t>
  </si>
  <si>
    <t>CS: Control de salida 2</t>
  </si>
  <si>
    <t>CS: Control de salida 3</t>
  </si>
  <si>
    <t>CS: Control de salida 4</t>
  </si>
  <si>
    <t>Evaluaciones escritas</t>
  </si>
  <si>
    <t>Midterm</t>
  </si>
  <si>
    <t>Atrasos</t>
  </si>
  <si>
    <t>Cupónes</t>
  </si>
  <si>
    <t>No atraso</t>
  </si>
  <si>
    <t>Cupones utilizados (2 disponibles):</t>
  </si>
  <si>
    <t>Evaluaciónes complementarias</t>
  </si>
  <si>
    <t>Interrogaciones &gt;= 3.5</t>
  </si>
  <si>
    <t>Interrogación 1</t>
  </si>
  <si>
    <t>Interrogación 2</t>
  </si>
  <si>
    <t>Nota participación</t>
  </si>
  <si>
    <t>Examen solo si se falto a un interrgación</t>
  </si>
  <si>
    <t>Tarea 5</t>
  </si>
  <si>
    <t>Prom. Actual</t>
  </si>
  <si>
    <t>Tareas grupales</t>
  </si>
  <si>
    <t>Análisis de casos grupal</t>
  </si>
  <si>
    <t>Proyecto grupal</t>
  </si>
  <si>
    <t>Interrogación</t>
  </si>
  <si>
    <t>Análisis grupal de casos</t>
  </si>
  <si>
    <t>Análisis grupal de casos 1</t>
  </si>
  <si>
    <t>Análisis grupal de casos 2</t>
  </si>
  <si>
    <t>Nota final</t>
  </si>
  <si>
    <t>Tarea grupal 1</t>
  </si>
  <si>
    <t>Evaluación de pares</t>
  </si>
  <si>
    <t>Tarea grupal 2</t>
  </si>
  <si>
    <t>Controles</t>
  </si>
  <si>
    <t>Tarea grupal 3</t>
  </si>
  <si>
    <t>Tarea grupal 4</t>
  </si>
  <si>
    <t>Tarea grupal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</si>
</sst>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6">
    <font>
      <sz val="10.0"/>
      <color rgb="FF000000"/>
      <name val="Arial"/>
      <scheme val="minor"/>
    </font>
    <font>
      <color theme="1"/>
      <name val="Calibri"/>
    </font>
    <font>
      <b/>
      <sz val="20.0"/>
      <color rgb="FFFFFFFF"/>
      <name val="Calibri"/>
    </font>
    <font/>
    <font>
      <sz val="11.0"/>
      <color rgb="FFFFFFFF"/>
      <name val="Calibri"/>
    </font>
    <font>
      <color rgb="FFFFFFFF"/>
      <name val="Calibri"/>
    </font>
    <font>
      <b/>
      <sz val="11.0"/>
      <color theme="1"/>
      <name val="Calibri"/>
    </font>
    <font>
      <b/>
      <color theme="1"/>
      <name val="Calibri"/>
    </font>
    <font>
      <b/>
      <sz val="8.0"/>
      <color rgb="FF000000"/>
      <name val="Arial"/>
    </font>
    <font>
      <b/>
      <sz val="15.0"/>
      <color rgb="FFFFFFFF"/>
      <name val="Calibri"/>
    </font>
    <font>
      <sz val="10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Calibri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ill="1" applyFont="1">
      <alignment horizontal="center" vertical="bottom"/>
    </xf>
    <xf borderId="10" fillId="2" fontId="5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 vertical="bottom"/>
    </xf>
    <xf borderId="10" fillId="0" fontId="1" numFmtId="2" xfId="0" applyAlignment="1" applyBorder="1" applyFont="1" applyNumberFormat="1">
      <alignment horizontal="center" readingOrder="0" vertical="bottom"/>
    </xf>
    <xf borderId="10" fillId="0" fontId="1" numFmtId="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readingOrder="0" vertical="top"/>
    </xf>
    <xf borderId="10" fillId="0" fontId="1" numFmtId="2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bottom"/>
    </xf>
    <xf borderId="10" fillId="0" fontId="6" numFmtId="2" xfId="0" applyAlignment="1" applyBorder="1" applyFont="1" applyNumberFormat="1">
      <alignment horizontal="center" vertical="bottom"/>
    </xf>
    <xf borderId="10" fillId="0" fontId="7" numFmtId="2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 vertical="bottom"/>
    </xf>
    <xf borderId="0" fillId="2" fontId="5" numFmtId="0" xfId="0" applyAlignment="1" applyFill="1" applyFont="1">
      <alignment readingOrder="0"/>
    </xf>
    <xf borderId="0" fillId="0" fontId="8" numFmtId="0" xfId="0" applyAlignment="1" applyFont="1">
      <alignment horizontal="right" readingOrder="0"/>
    </xf>
    <xf borderId="1" fillId="2" fontId="9" numFmtId="0" xfId="0" applyAlignment="1" applyBorder="1" applyFill="1" applyFont="1">
      <alignment horizontal="left" vertical="center"/>
    </xf>
    <xf borderId="10" fillId="2" fontId="5" numFmtId="0" xfId="0" applyAlignment="1" applyBorder="1" applyFill="1" applyFont="1">
      <alignment vertical="bottom"/>
    </xf>
    <xf borderId="10" fillId="2" fontId="4" numFmtId="0" xfId="0" applyAlignment="1" applyBorder="1" applyFill="1" applyFont="1">
      <alignment readingOrder="0" vertical="bottom"/>
    </xf>
    <xf borderId="6" fillId="2" fontId="10" numFmtId="164" xfId="0" applyAlignment="1" applyBorder="1" applyFill="1" applyFont="1" applyNumberFormat="1">
      <alignment horizontal="center" vertical="center"/>
    </xf>
    <xf borderId="6" fillId="2" fontId="10" numFmtId="2" xfId="0" applyAlignment="1" applyBorder="1" applyFill="1" applyFont="1" applyNumberFormat="1">
      <alignment horizontal="center" vertical="center"/>
    </xf>
    <xf borderId="10" fillId="2" fontId="5" numFmtId="2" xfId="0" applyAlignment="1" applyBorder="1" applyFill="1" applyFont="1" applyNumberFormat="1">
      <alignment horizontal="center" readingOrder="0"/>
    </xf>
    <xf borderId="7" fillId="3" fontId="11" numFmtId="0" xfId="0" applyAlignment="1" applyBorder="1" applyFill="1" applyFont="1">
      <alignment horizontal="center" readingOrder="0" vertical="bottom"/>
    </xf>
    <xf borderId="10" fillId="3" fontId="11" numFmtId="0" xfId="0" applyAlignment="1" applyBorder="1" applyFill="1" applyFont="1">
      <alignment horizontal="center" readingOrder="0" vertical="bottom"/>
    </xf>
    <xf borderId="0" fillId="0" fontId="12" numFmtId="0" xfId="0" applyFont="1"/>
    <xf borderId="7" fillId="4" fontId="1" numFmtId="0" xfId="0" applyAlignment="1" applyBorder="1" applyFill="1" applyFont="1">
      <alignment vertical="bottom"/>
    </xf>
    <xf borderId="10" fillId="4" fontId="1" numFmtId="165" xfId="0" applyAlignment="1" applyBorder="1" applyFill="1" applyFont="1" applyNumberFormat="1">
      <alignment horizontal="center" readingOrder="0" vertical="bottom"/>
    </xf>
    <xf borderId="7" fillId="4" fontId="1" numFmtId="0" xfId="0" applyAlignment="1" applyBorder="1" applyFill="1" applyFont="1">
      <alignment readingOrder="0" vertical="bottom"/>
    </xf>
    <xf borderId="1" fillId="4" fontId="1" numFmtId="0" xfId="0" applyAlignment="1" applyBorder="1" applyFill="1" applyFont="1">
      <alignment readingOrder="0" vertical="bottom"/>
    </xf>
    <xf borderId="11" fillId="0" fontId="13" numFmtId="2" xfId="0" applyAlignment="1" applyBorder="1" applyFont="1" applyNumberFormat="1">
      <alignment horizontal="center" readingOrder="0" vertical="bottom"/>
    </xf>
    <xf borderId="2" fillId="4" fontId="1" numFmtId="0" xfId="0" applyAlignment="1" applyBorder="1" applyFill="1" applyFont="1">
      <alignment readingOrder="0" vertical="bottom"/>
    </xf>
    <xf borderId="3" fillId="4" fontId="1" numFmtId="2" xfId="0" applyAlignment="1" applyBorder="1" applyFill="1" applyFont="1" applyNumberFormat="1">
      <alignment horizontal="center" readingOrder="0" vertical="bottom"/>
    </xf>
    <xf borderId="8" fillId="4" fontId="1" numFmtId="0" xfId="0" applyAlignment="1" applyBorder="1" applyFill="1" applyFont="1">
      <alignment readingOrder="0" vertical="bottom"/>
    </xf>
    <xf borderId="10" fillId="2" fontId="5" numFmtId="2" xfId="0" applyAlignment="1" applyBorder="1" applyFill="1" applyFont="1" applyNumberFormat="1">
      <alignment horizontal="center"/>
    </xf>
    <xf borderId="0" fillId="0" fontId="11" numFmtId="0" xfId="0" applyAlignment="1" applyFont="1">
      <alignment horizontal="center" readingOrder="0" vertical="bottom"/>
    </xf>
    <xf borderId="10" fillId="4" fontId="1" numFmtId="2" xfId="0" applyAlignment="1" applyBorder="1" applyFill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11" fillId="4" fontId="1" numFmtId="2" xfId="0" applyAlignment="1" applyBorder="1" applyFill="1" applyFont="1" applyNumberFormat="1">
      <alignment horizontal="center" readingOrder="0" vertical="bottom"/>
    </xf>
    <xf borderId="10" fillId="4" fontId="13" numFmtId="165" xfId="0" applyAlignment="1" applyBorder="1" applyFill="1" applyFont="1" applyNumberFormat="1">
      <alignment horizontal="center" readingOrder="0" vertical="bottom"/>
    </xf>
    <xf borderId="10" fillId="0" fontId="13" numFmtId="2" xfId="0" applyAlignment="1" applyBorder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4" fontId="1" numFmtId="0" xfId="0" applyAlignment="1" applyFill="1" applyFont="1">
      <alignment readingOrder="0" vertical="bottom"/>
    </xf>
    <xf borderId="12" fillId="0" fontId="13" numFmtId="165" xfId="0" applyAlignment="1" applyBorder="1" applyFont="1" applyNumberFormat="1">
      <alignment horizontal="center" readingOrder="0" vertical="bottom"/>
    </xf>
    <xf borderId="12" fillId="4" fontId="1" numFmtId="165" xfId="0" applyAlignment="1" applyBorder="1" applyFill="1" applyFont="1" applyNumberFormat="1">
      <alignment horizontal="center" readingOrder="0" vertical="bottom"/>
    </xf>
    <xf borderId="0" fillId="4" fontId="1" numFmtId="2" xfId="0" applyAlignment="1" applyFill="1" applyFont="1" applyNumberFormat="1">
      <alignment horizontal="center" readingOrder="0" vertical="bottom"/>
    </xf>
    <xf borderId="10" fillId="4" fontId="1" numFmtId="9" xfId="0" applyAlignment="1" applyBorder="1" applyFill="1" applyFont="1" applyNumberFormat="1">
      <alignment horizontal="center" readingOrder="0" vertical="bottom"/>
    </xf>
    <xf borderId="11" fillId="4" fontId="1" numFmtId="9" xfId="0" applyAlignment="1" applyBorder="1" applyFill="1" applyFont="1" applyNumberFormat="1">
      <alignment horizontal="center" readingOrder="0" vertical="bottom"/>
    </xf>
    <xf borderId="3" fillId="4" fontId="1" numFmtId="165" xfId="0" applyAlignment="1" applyBorder="1" applyFill="1" applyFont="1" applyNumberFormat="1">
      <alignment horizontal="center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7" fillId="0" fontId="14" numFmtId="0" xfId="0" applyAlignment="1" applyBorder="1" applyFont="1">
      <alignment readingOrder="0" vertical="bottom"/>
    </xf>
    <xf borderId="10" fillId="0" fontId="14" numFmtId="0" xfId="0" applyAlignment="1" applyBorder="1" applyFont="1">
      <alignment horizontal="center" readingOrder="0" vertical="bottom"/>
    </xf>
    <xf borderId="10" fillId="0" fontId="15" numFmtId="0" xfId="0" applyAlignment="1" applyBorder="1" applyFont="1">
      <alignment horizontal="center" readingOrder="0" vertical="bottom"/>
    </xf>
    <xf borderId="8" fillId="3" fontId="11" numFmtId="0" xfId="0" applyAlignment="1" applyBorder="1" applyFill="1" applyFont="1">
      <alignment horizontal="center" readingOrder="0" vertical="bottom"/>
    </xf>
    <xf borderId="9" fillId="3" fontId="11" numFmtId="0" xfId="0" applyAlignment="1" applyBorder="1" applyFill="1" applyFont="1">
      <alignment horizontal="center" readingOrder="0" vertical="bottom"/>
    </xf>
    <xf borderId="0" fillId="0" fontId="14" numFmtId="2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10" fillId="0" fontId="14" numFmtId="2" xfId="0" applyAlignment="1" applyBorder="1" applyFont="1" applyNumberFormat="1">
      <alignment horizontal="center" readingOrder="0" vertical="bottom"/>
    </xf>
    <xf borderId="0" fillId="0" fontId="14" numFmtId="165" xfId="0" applyAlignment="1" applyFont="1" applyNumberFormat="1">
      <alignment horizontal="center" readingOrder="0" vertical="bottom"/>
    </xf>
    <xf borderId="10" fillId="3" fontId="11" numFmtId="0" xfId="0" applyAlignment="1" applyBorder="1" applyFill="1" applyFont="1">
      <alignment horizontal="center" vertical="bottom"/>
    </xf>
    <xf borderId="10" fillId="2" fontId="4" numFmtId="0" xfId="0" applyAlignment="1" applyBorder="1" applyFill="1" applyFont="1">
      <alignment vertical="bottom"/>
    </xf>
    <xf borderId="7" fillId="0" fontId="12" numFmtId="0" xfId="0" applyAlignment="1" applyBorder="1" applyFont="1">
      <alignment readingOrder="0"/>
    </xf>
    <xf borderId="10" fillId="4" fontId="1" numFmtId="9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6" width="16.38"/>
    <col customWidth="1" min="7" max="7" width="17.63"/>
    <col customWidth="1" min="8" max="9" width="16.38"/>
    <col customWidth="1" min="10" max="10" width="2.63"/>
    <col customWidth="1" min="21" max="2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5"/>
      <c r="C3" s="6"/>
      <c r="D3" s="6"/>
      <c r="E3" s="6"/>
      <c r="F3" s="6"/>
      <c r="G3" s="6"/>
      <c r="H3" s="6"/>
      <c r="I3" s="7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 t="s">
        <v>1</v>
      </c>
      <c r="C4" s="9"/>
      <c r="D4" s="9"/>
      <c r="E4" s="9"/>
      <c r="F4" s="10"/>
      <c r="G4" s="11" t="s">
        <v>2</v>
      </c>
      <c r="H4" s="12" t="s">
        <v>3</v>
      </c>
      <c r="I4" s="11" t="s">
        <v>4</v>
      </c>
      <c r="J4" s="1"/>
      <c r="K4" s="1"/>
      <c r="L4" s="1"/>
      <c r="M4" s="13"/>
      <c r="N4" s="1"/>
      <c r="O4" s="1"/>
      <c r="P4" s="1"/>
      <c r="Q4" s="1"/>
      <c r="R4" s="1"/>
    </row>
    <row r="5">
      <c r="A5" s="1"/>
      <c r="B5" s="14" t="s">
        <v>5</v>
      </c>
      <c r="C5" s="9"/>
      <c r="D5" s="9"/>
      <c r="E5" s="9"/>
      <c r="F5" s="10"/>
      <c r="G5" s="15">
        <f>I16</f>
        <v>4.5</v>
      </c>
      <c r="H5" s="16" t="str">
        <f t="shared" ref="H5:H10" si="1">IF(G5&gt;=4,"Aprobado","No aprobado")</f>
        <v>Aprobado</v>
      </c>
      <c r="I5" s="17">
        <v>10.0</v>
      </c>
      <c r="J5" s="1"/>
      <c r="K5" s="1"/>
      <c r="L5" s="1"/>
      <c r="M5" s="13"/>
      <c r="N5" s="1"/>
      <c r="O5" s="1"/>
      <c r="P5" s="1"/>
      <c r="Q5" s="1"/>
      <c r="R5" s="1"/>
    </row>
    <row r="6">
      <c r="A6" s="1"/>
      <c r="B6" s="14" t="s">
        <v>6</v>
      </c>
      <c r="C6" s="9"/>
      <c r="D6" s="9"/>
      <c r="E6" s="9"/>
      <c r="F6" s="10"/>
      <c r="G6" s="15">
        <v>5.1</v>
      </c>
      <c r="H6" s="16" t="str">
        <f t="shared" si="1"/>
        <v>Aprobado</v>
      </c>
      <c r="I6" s="17">
        <v>10.0</v>
      </c>
      <c r="J6" s="1"/>
      <c r="K6" s="1"/>
      <c r="L6" s="1"/>
      <c r="M6" s="13"/>
      <c r="N6" s="1"/>
      <c r="O6" s="1"/>
      <c r="P6" s="1"/>
      <c r="Q6" s="1"/>
      <c r="R6" s="1"/>
    </row>
    <row r="7">
      <c r="A7" s="1"/>
      <c r="B7" s="14" t="s">
        <v>7</v>
      </c>
      <c r="C7" s="9"/>
      <c r="D7" s="9"/>
      <c r="E7" s="9"/>
      <c r="F7" s="10"/>
      <c r="G7" s="15">
        <v>5.1</v>
      </c>
      <c r="H7" s="16" t="str">
        <f t="shared" si="1"/>
        <v>Aprobado</v>
      </c>
      <c r="I7" s="17">
        <v>10.0</v>
      </c>
      <c r="J7" s="1"/>
      <c r="K7" s="1"/>
      <c r="L7" s="1"/>
      <c r="M7" s="13"/>
      <c r="N7" s="1"/>
      <c r="O7" s="1"/>
      <c r="P7" s="1"/>
      <c r="Q7" s="1"/>
      <c r="R7" s="1"/>
    </row>
    <row r="8">
      <c r="A8" s="1"/>
      <c r="B8" s="18" t="s">
        <v>8</v>
      </c>
      <c r="C8" s="9"/>
      <c r="D8" s="9"/>
      <c r="E8" s="9"/>
      <c r="F8" s="10"/>
      <c r="G8" s="19">
        <f>I72</f>
        <v>5.59829375</v>
      </c>
      <c r="H8" s="16" t="str">
        <f t="shared" si="1"/>
        <v>Aprobado</v>
      </c>
      <c r="I8" s="17">
        <v>10.0</v>
      </c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8" t="s">
        <v>9</v>
      </c>
      <c r="C9" s="9"/>
      <c r="D9" s="9"/>
      <c r="E9" s="9"/>
      <c r="F9" s="10"/>
      <c r="G9" s="15">
        <v>6.6</v>
      </c>
      <c r="H9" s="16" t="str">
        <f t="shared" si="1"/>
        <v>Aprobado</v>
      </c>
      <c r="I9" s="17">
        <v>10.0</v>
      </c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8" t="s">
        <v>10</v>
      </c>
      <c r="C10" s="9"/>
      <c r="D10" s="9"/>
      <c r="E10" s="9"/>
      <c r="F10" s="10"/>
      <c r="G10" s="19">
        <f>I95</f>
        <v>5.9</v>
      </c>
      <c r="H10" s="16" t="str">
        <f t="shared" si="1"/>
        <v>Aprobado</v>
      </c>
      <c r="I10" s="17">
        <v>10.0</v>
      </c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20" t="s">
        <v>11</v>
      </c>
      <c r="C11" s="9"/>
      <c r="D11" s="9"/>
      <c r="E11" s="9"/>
      <c r="F11" s="10"/>
      <c r="G11" s="21">
        <f>AVERAGE(G5:G10)</f>
        <v>5.466382292</v>
      </c>
      <c r="H11" s="22"/>
      <c r="I11" s="23">
        <f>SUM(I5:I10)</f>
        <v>60</v>
      </c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24" t="s">
        <v>12</v>
      </c>
      <c r="J13" s="1"/>
      <c r="K13" s="1"/>
      <c r="L13" s="1"/>
      <c r="M13" s="1"/>
      <c r="N13" s="1"/>
      <c r="O13" s="1"/>
      <c r="Q13" s="1"/>
      <c r="R13" s="1"/>
    </row>
    <row r="14">
      <c r="P14" s="25"/>
    </row>
    <row r="15">
      <c r="B15" s="26" t="str">
        <f>B5</f>
        <v>ICS2523 Modelos Estocásticos</v>
      </c>
      <c r="C15" s="3"/>
      <c r="D15" s="3"/>
      <c r="E15" s="3"/>
      <c r="F15" s="27" t="s">
        <v>13</v>
      </c>
      <c r="G15" s="28" t="s">
        <v>14</v>
      </c>
      <c r="H15" s="28" t="s">
        <v>15</v>
      </c>
      <c r="I15" s="28" t="s">
        <v>16</v>
      </c>
    </row>
    <row r="16">
      <c r="B16" s="5"/>
      <c r="C16" s="6"/>
      <c r="D16" s="6"/>
      <c r="E16" s="6"/>
      <c r="F16" s="11">
        <f>I5</f>
        <v>10</v>
      </c>
      <c r="G16" s="29">
        <f>(E18+E19+2*E20-MIN(E18:E20))/3</f>
        <v>4.033333333</v>
      </c>
      <c r="H16" s="30">
        <f>IFERROR(AVERAGEIF(I18:I21,"&gt;0"),"")
</f>
        <v>5.4625</v>
      </c>
      <c r="I16" s="31">
        <v>4.5</v>
      </c>
    </row>
    <row r="17" outlineLevel="1">
      <c r="B17" s="32" t="s">
        <v>17</v>
      </c>
      <c r="C17" s="9"/>
      <c r="D17" s="10"/>
      <c r="E17" s="33" t="s">
        <v>18</v>
      </c>
      <c r="F17" s="32" t="s">
        <v>19</v>
      </c>
      <c r="G17" s="9"/>
      <c r="H17" s="10"/>
      <c r="I17" s="33" t="s">
        <v>18</v>
      </c>
      <c r="L17" s="34" t="str">
        <f>IFERROR(ROUND(SUMPRODUCT(D16:D20,E16:E20)/(SUMIF(E16:E20,"&gt;0",D16:D20)),0),"")</f>
        <v/>
      </c>
    </row>
    <row r="18" outlineLevel="1">
      <c r="B18" s="35" t="s">
        <v>20</v>
      </c>
      <c r="C18" s="9"/>
      <c r="D18" s="10"/>
      <c r="E18" s="36">
        <v>2.4</v>
      </c>
      <c r="F18" s="37" t="s">
        <v>21</v>
      </c>
      <c r="G18" s="9"/>
      <c r="H18" s="10"/>
      <c r="I18" s="36">
        <v>6.3</v>
      </c>
    </row>
    <row r="19" outlineLevel="1">
      <c r="B19" s="35" t="s">
        <v>22</v>
      </c>
      <c r="C19" s="9"/>
      <c r="D19" s="10"/>
      <c r="E19" s="36">
        <v>3.6</v>
      </c>
      <c r="F19" s="37" t="s">
        <v>23</v>
      </c>
      <c r="G19" s="9"/>
      <c r="H19" s="10"/>
      <c r="I19" s="36">
        <v>5.8</v>
      </c>
    </row>
    <row r="20" outlineLevel="1">
      <c r="B20" s="38" t="s">
        <v>24</v>
      </c>
      <c r="C20" s="3"/>
      <c r="D20" s="4"/>
      <c r="E20" s="39">
        <v>4.25</v>
      </c>
      <c r="F20" s="37" t="s">
        <v>25</v>
      </c>
      <c r="G20" s="9"/>
      <c r="H20" s="10"/>
      <c r="I20" s="36">
        <v>6.25</v>
      </c>
    </row>
    <row r="21" outlineLevel="1">
      <c r="B21" s="40"/>
      <c r="C21" s="3"/>
      <c r="D21" s="3"/>
      <c r="E21" s="41"/>
      <c r="F21" s="42" t="s">
        <v>26</v>
      </c>
      <c r="G21" s="9"/>
      <c r="H21" s="10"/>
      <c r="I21" s="36">
        <v>3.5</v>
      </c>
    </row>
    <row r="22">
      <c r="B22" s="1"/>
      <c r="C22" s="1"/>
      <c r="D22" s="1"/>
      <c r="E22" s="1"/>
      <c r="F22" s="1"/>
      <c r="G22" s="1"/>
      <c r="H22" s="1"/>
      <c r="I22" s="1"/>
    </row>
    <row r="23">
      <c r="B23" s="26" t="str">
        <f>B6</f>
        <v>ICS2523 Microeconomía</v>
      </c>
      <c r="C23" s="3"/>
      <c r="D23" s="3"/>
      <c r="E23" s="3"/>
      <c r="F23" s="3"/>
      <c r="G23" s="27" t="s">
        <v>13</v>
      </c>
      <c r="H23" s="28" t="s">
        <v>27</v>
      </c>
      <c r="I23" s="28" t="s">
        <v>28</v>
      </c>
    </row>
    <row r="24" collapsed="1">
      <c r="B24" s="5"/>
      <c r="C24" s="6"/>
      <c r="D24" s="6"/>
      <c r="E24" s="6"/>
      <c r="F24" s="6"/>
      <c r="G24" s="11">
        <f>I6</f>
        <v>10</v>
      </c>
      <c r="H24" s="31">
        <v>5.55</v>
      </c>
      <c r="I24" s="43">
        <f> 0.65 *H24 + 0.35 *E29 
</f>
        <v>5.067</v>
      </c>
    </row>
    <row r="25" hidden="1" outlineLevel="1">
      <c r="B25" s="32" t="s">
        <v>17</v>
      </c>
      <c r="C25" s="9"/>
      <c r="D25" s="10"/>
      <c r="E25" s="33" t="s">
        <v>18</v>
      </c>
      <c r="F25" s="32" t="s">
        <v>29</v>
      </c>
      <c r="G25" s="9"/>
      <c r="H25" s="10"/>
      <c r="I25" s="33" t="s">
        <v>18</v>
      </c>
      <c r="K25" s="44"/>
      <c r="N25" s="44"/>
      <c r="O25" s="44"/>
      <c r="R25" s="44"/>
    </row>
    <row r="26" hidden="1" outlineLevel="1">
      <c r="B26" s="37" t="s">
        <v>30</v>
      </c>
      <c r="C26" s="9"/>
      <c r="D26" s="10"/>
      <c r="E26" s="45">
        <f>IFERROR(AVERAGEIF(I27:I30,"&gt;0"),"")* 0.4 + IFERROR(AVERAGEIF(I31:I33,"&gt;0"),"") * 0.6</f>
        <v>6.75</v>
      </c>
      <c r="F26" s="37" t="s">
        <v>31</v>
      </c>
      <c r="G26" s="9"/>
      <c r="H26" s="10"/>
      <c r="I26" s="45">
        <v>5.75</v>
      </c>
      <c r="K26" s="46"/>
      <c r="N26" s="47"/>
      <c r="O26" s="46"/>
      <c r="R26" s="48"/>
    </row>
    <row r="27" hidden="1" outlineLevel="1">
      <c r="B27" s="37" t="s">
        <v>32</v>
      </c>
      <c r="C27" s="9"/>
      <c r="D27" s="10"/>
      <c r="E27" s="36">
        <f> (I35+I36+I37+I38+I39 - min(I35:I39))/4
</f>
        <v>4.6625</v>
      </c>
      <c r="F27" s="37" t="s">
        <v>33</v>
      </c>
      <c r="G27" s="9"/>
      <c r="H27" s="10"/>
      <c r="I27" s="45">
        <v>5.75</v>
      </c>
      <c r="K27" s="46"/>
      <c r="N27" s="48"/>
      <c r="O27" s="46"/>
      <c r="R27" s="48"/>
    </row>
    <row r="28" hidden="1" outlineLevel="1">
      <c r="B28" s="38" t="s">
        <v>34</v>
      </c>
      <c r="C28" s="3"/>
      <c r="D28" s="4"/>
      <c r="E28" s="49">
        <f>IFERROR(AVERAGEIF(I41:I43,"&gt;0"),"")
</f>
        <v>6.786666667</v>
      </c>
      <c r="F28" s="37" t="s">
        <v>35</v>
      </c>
      <c r="G28" s="9"/>
      <c r="H28" s="10"/>
      <c r="I28" s="50">
        <v>7.0</v>
      </c>
      <c r="K28" s="46"/>
      <c r="N28" s="48"/>
      <c r="O28" s="46"/>
      <c r="R28" s="48"/>
    </row>
    <row r="29" hidden="1" outlineLevel="1">
      <c r="B29" s="37" t="s">
        <v>36</v>
      </c>
      <c r="C29" s="9"/>
      <c r="D29" s="10"/>
      <c r="E29" s="51">
        <v>4.17</v>
      </c>
      <c r="F29" s="42" t="s">
        <v>37</v>
      </c>
      <c r="G29" s="9"/>
      <c r="H29" s="10"/>
      <c r="I29" s="50">
        <v>6.75</v>
      </c>
      <c r="K29" s="46"/>
      <c r="N29" s="52"/>
      <c r="O29" s="46"/>
      <c r="R29" s="48"/>
    </row>
    <row r="30" hidden="1" outlineLevel="1">
      <c r="B30" s="53"/>
      <c r="C30" s="53"/>
      <c r="D30" s="53"/>
      <c r="E30" s="54"/>
      <c r="F30" s="42" t="s">
        <v>38</v>
      </c>
      <c r="G30" s="9"/>
      <c r="H30" s="10"/>
      <c r="I30" s="50">
        <v>7.0</v>
      </c>
      <c r="K30" s="46"/>
      <c r="L30" s="46"/>
      <c r="M30" s="46"/>
      <c r="N30" s="52"/>
      <c r="O30" s="46"/>
      <c r="P30" s="46"/>
      <c r="Q30" s="46"/>
      <c r="R30" s="48"/>
    </row>
    <row r="31" hidden="1" outlineLevel="1">
      <c r="B31" s="53"/>
      <c r="E31" s="55"/>
      <c r="F31" s="42" t="s">
        <v>39</v>
      </c>
      <c r="G31" s="9"/>
      <c r="H31" s="10"/>
      <c r="I31" s="36">
        <v>6.5</v>
      </c>
      <c r="K31" s="46"/>
      <c r="N31" s="48"/>
      <c r="O31" s="46"/>
      <c r="R31" s="48"/>
    </row>
    <row r="32" hidden="1" outlineLevel="1">
      <c r="F32" s="37" t="s">
        <v>40</v>
      </c>
      <c r="G32" s="9"/>
      <c r="H32" s="10"/>
      <c r="I32" s="50">
        <v>7.0</v>
      </c>
      <c r="O32" s="46"/>
      <c r="R32" s="48"/>
    </row>
    <row r="33" hidden="1" outlineLevel="1">
      <c r="C33" s="56"/>
      <c r="F33" s="37" t="s">
        <v>41</v>
      </c>
      <c r="G33" s="9"/>
      <c r="H33" s="10"/>
      <c r="I33" s="50">
        <v>7.0</v>
      </c>
      <c r="L33" s="47"/>
      <c r="O33" s="46"/>
      <c r="R33" s="48"/>
    </row>
    <row r="34" hidden="1" outlineLevel="1">
      <c r="F34" s="32" t="s">
        <v>42</v>
      </c>
      <c r="G34" s="9"/>
      <c r="H34" s="10"/>
      <c r="I34" s="33" t="s">
        <v>18</v>
      </c>
      <c r="O34" s="44"/>
      <c r="R34" s="44"/>
    </row>
    <row r="35" hidden="1" outlineLevel="1">
      <c r="F35" s="37" t="s">
        <v>43</v>
      </c>
      <c r="G35" s="9"/>
      <c r="H35" s="10"/>
      <c r="I35" s="36">
        <v>2.8</v>
      </c>
      <c r="O35" s="46"/>
      <c r="R35" s="48"/>
    </row>
    <row r="36" hidden="1" outlineLevel="1">
      <c r="F36" s="37" t="s">
        <v>44</v>
      </c>
      <c r="G36" s="9"/>
      <c r="H36" s="10"/>
      <c r="I36" s="36">
        <v>3.9</v>
      </c>
      <c r="O36" s="46"/>
      <c r="R36" s="47"/>
    </row>
    <row r="37" hidden="1" outlineLevel="1">
      <c r="F37" s="37" t="s">
        <v>45</v>
      </c>
      <c r="G37" s="9"/>
      <c r="H37" s="10"/>
      <c r="I37" s="36">
        <v>4.2</v>
      </c>
      <c r="O37" s="46"/>
      <c r="R37" s="48"/>
    </row>
    <row r="38" hidden="1" outlineLevel="1">
      <c r="F38" s="37" t="s">
        <v>46</v>
      </c>
      <c r="G38" s="9"/>
      <c r="H38" s="10"/>
      <c r="I38" s="36">
        <v>4.65</v>
      </c>
      <c r="O38" s="46"/>
      <c r="R38" s="48"/>
    </row>
    <row r="39" hidden="1" outlineLevel="1">
      <c r="F39" s="37" t="s">
        <v>47</v>
      </c>
      <c r="G39" s="9"/>
      <c r="H39" s="10"/>
      <c r="I39" s="36">
        <v>5.9</v>
      </c>
      <c r="O39" s="46"/>
      <c r="R39" s="48"/>
    </row>
    <row r="40" hidden="1" outlineLevel="1">
      <c r="F40" s="32" t="s">
        <v>48</v>
      </c>
      <c r="G40" s="9"/>
      <c r="H40" s="10"/>
      <c r="I40" s="33" t="s">
        <v>18</v>
      </c>
      <c r="O40" s="44"/>
      <c r="R40" s="44"/>
    </row>
    <row r="41" hidden="1" outlineLevel="1">
      <c r="F41" s="37" t="s">
        <v>49</v>
      </c>
      <c r="G41" s="9"/>
      <c r="H41" s="10"/>
      <c r="I41" s="36">
        <v>7.0</v>
      </c>
      <c r="O41" s="46"/>
      <c r="R41" s="48"/>
    </row>
    <row r="42" hidden="1" outlineLevel="1">
      <c r="F42" s="37" t="s">
        <v>50</v>
      </c>
      <c r="G42" s="9"/>
      <c r="H42" s="10"/>
      <c r="I42" s="36">
        <v>6.58</v>
      </c>
      <c r="O42" s="46"/>
      <c r="R42" s="48"/>
    </row>
    <row r="43" hidden="1" outlineLevel="1">
      <c r="F43" s="37" t="s">
        <v>51</v>
      </c>
      <c r="G43" s="9"/>
      <c r="H43" s="10"/>
      <c r="I43" s="51">
        <v>6.78</v>
      </c>
      <c r="O43" s="46"/>
      <c r="R43" s="52"/>
    </row>
    <row r="45">
      <c r="B45" s="26" t="str">
        <f>B7</f>
        <v>IIC2233 Programación Avanzada</v>
      </c>
      <c r="C45" s="3"/>
      <c r="D45" s="3"/>
      <c r="E45" s="3"/>
      <c r="F45" s="3"/>
      <c r="G45" s="27" t="s">
        <v>13</v>
      </c>
      <c r="H45" s="28" t="s">
        <v>52</v>
      </c>
      <c r="I45" s="28" t="s">
        <v>53</v>
      </c>
    </row>
    <row r="46" collapsed="1">
      <c r="B46" s="5"/>
      <c r="C46" s="6"/>
      <c r="D46" s="6"/>
      <c r="E46" s="6"/>
      <c r="F46" s="6"/>
      <c r="G46" s="11">
        <f>I7</f>
        <v>10</v>
      </c>
      <c r="H46" s="43">
        <f>(5*E50+3*E49+2*E48)/10</f>
        <v>5.050083333</v>
      </c>
      <c r="I46" s="43">
        <f>H46+0.2</f>
        <v>5.250083333</v>
      </c>
    </row>
    <row r="47" hidden="1" outlineLevel="1">
      <c r="B47" s="32" t="s">
        <v>54</v>
      </c>
      <c r="C47" s="10"/>
      <c r="D47" s="33" t="s">
        <v>55</v>
      </c>
      <c r="E47" s="33" t="s">
        <v>18</v>
      </c>
      <c r="F47" s="32" t="s">
        <v>56</v>
      </c>
      <c r="G47" s="9"/>
      <c r="H47" s="10"/>
      <c r="I47" s="33" t="s">
        <v>57</v>
      </c>
    </row>
    <row r="48" hidden="1" outlineLevel="1">
      <c r="B48" s="37" t="s">
        <v>58</v>
      </c>
      <c r="C48" s="10"/>
      <c r="D48" s="57">
        <v>0.2</v>
      </c>
      <c r="E48" s="45">
        <f>min(7, ((SUMIF(I49:I60, "&lt;&gt;") / 36) * 6 + 1)
)</f>
        <v>6.166666667</v>
      </c>
      <c r="F48" s="37" t="s">
        <v>59</v>
      </c>
      <c r="G48" s="9"/>
      <c r="H48" s="10"/>
      <c r="I48" s="36">
        <v>0.0</v>
      </c>
    </row>
    <row r="49" hidden="1" outlineLevel="1">
      <c r="B49" s="37" t="s">
        <v>60</v>
      </c>
      <c r="C49" s="10"/>
      <c r="D49" s="57">
        <v>0.3</v>
      </c>
      <c r="E49" s="45">
        <v>4.71</v>
      </c>
      <c r="F49" s="37" t="s">
        <v>61</v>
      </c>
      <c r="G49" s="9"/>
      <c r="H49" s="10"/>
      <c r="I49" s="36">
        <v>2.0</v>
      </c>
    </row>
    <row r="50" hidden="1" outlineLevel="1">
      <c r="B50" s="38" t="s">
        <v>62</v>
      </c>
      <c r="C50" s="4"/>
      <c r="D50" s="58">
        <v>0.5</v>
      </c>
      <c r="E50" s="49">
        <f> (IF(I65&lt;&gt;"", 1*I65, 0) + IF(I66&lt;&gt;"", 2*I66, 0) + IF(I67&lt;&gt;"", 2*I67, 0) + IF(I68&lt;&gt;"", 3*I68, 0)) / (IF(I65&lt;&gt;"",1,0) + IF(I66&lt;&gt;"",2,0) + IF(I67&lt;&gt;"",2,0) + IF(I68&lt;&gt;"",3,0))</f>
        <v>4.8075</v>
      </c>
      <c r="F50" s="37" t="s">
        <v>63</v>
      </c>
      <c r="G50" s="9"/>
      <c r="H50" s="10"/>
      <c r="I50" s="36">
        <v>2.0</v>
      </c>
    </row>
    <row r="51" hidden="1" outlineLevel="1">
      <c r="B51" s="40"/>
      <c r="C51" s="3"/>
      <c r="D51" s="40"/>
      <c r="E51" s="59"/>
      <c r="F51" s="42" t="s">
        <v>64</v>
      </c>
      <c r="G51" s="9"/>
      <c r="H51" s="10"/>
      <c r="I51" s="36">
        <v>3.0</v>
      </c>
    </row>
    <row r="52" hidden="1" outlineLevel="1">
      <c r="B52" s="53"/>
      <c r="D52" s="53"/>
      <c r="E52" s="55"/>
      <c r="F52" s="42" t="s">
        <v>65</v>
      </c>
      <c r="G52" s="9"/>
      <c r="H52" s="10"/>
      <c r="I52" s="36">
        <v>0.0</v>
      </c>
    </row>
    <row r="53" hidden="1" outlineLevel="1">
      <c r="F53" s="37" t="s">
        <v>66</v>
      </c>
      <c r="G53" s="9"/>
      <c r="H53" s="10"/>
      <c r="I53" s="36">
        <v>1.0</v>
      </c>
    </row>
    <row r="54" hidden="1" outlineLevel="1">
      <c r="A54" s="60"/>
      <c r="B54" s="60"/>
      <c r="C54" s="60"/>
      <c r="D54" s="61"/>
      <c r="E54" s="60"/>
      <c r="F54" s="37" t="s">
        <v>67</v>
      </c>
      <c r="G54" s="9"/>
      <c r="H54" s="10"/>
      <c r="I54" s="36">
        <v>4.0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</row>
    <row r="55" hidden="1" outlineLevel="1">
      <c r="A55" s="60"/>
      <c r="B55" s="60"/>
      <c r="C55" s="60"/>
      <c r="D55" s="60"/>
      <c r="E55" s="60"/>
      <c r="F55" s="37" t="s">
        <v>68</v>
      </c>
      <c r="G55" s="9"/>
      <c r="H55" s="10"/>
      <c r="I55" s="36">
        <v>4.0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</row>
    <row r="56" hidden="1" outlineLevel="1">
      <c r="A56" s="60"/>
      <c r="B56" s="60"/>
      <c r="C56" s="60"/>
      <c r="D56" s="60"/>
      <c r="E56" s="60"/>
      <c r="F56" s="37" t="s">
        <v>69</v>
      </c>
      <c r="G56" s="9"/>
      <c r="H56" s="10"/>
      <c r="I56" s="36">
        <v>1.0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</row>
    <row r="57" hidden="1" outlineLevel="1">
      <c r="A57" s="60"/>
      <c r="B57" s="60"/>
      <c r="C57" s="60"/>
      <c r="D57" s="60"/>
      <c r="E57" s="60"/>
      <c r="F57" s="37" t="s">
        <v>70</v>
      </c>
      <c r="G57" s="9"/>
      <c r="H57" s="10"/>
      <c r="I57" s="36">
        <v>3.0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idden="1" outlineLevel="1">
      <c r="A58" s="60"/>
      <c r="B58" s="60"/>
      <c r="C58" s="60"/>
      <c r="D58" s="60"/>
      <c r="E58" s="60"/>
      <c r="F58" s="37" t="s">
        <v>71</v>
      </c>
      <c r="G58" s="9"/>
      <c r="H58" s="10"/>
      <c r="I58" s="36">
        <v>4.0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</row>
    <row r="59" hidden="1" outlineLevel="1">
      <c r="A59" s="60"/>
      <c r="B59" s="60"/>
      <c r="C59" s="60"/>
      <c r="D59" s="60"/>
      <c r="E59" s="60"/>
      <c r="F59" s="37" t="s">
        <v>72</v>
      </c>
      <c r="G59" s="9"/>
      <c r="H59" s="10"/>
      <c r="I59" s="36">
        <v>3.0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</row>
    <row r="60" hidden="1" outlineLevel="1">
      <c r="A60" s="60"/>
      <c r="B60" s="60"/>
      <c r="C60" s="60"/>
      <c r="D60" s="60"/>
      <c r="E60" s="60"/>
      <c r="F60" s="37" t="s">
        <v>73</v>
      </c>
      <c r="G60" s="9"/>
      <c r="H60" s="10"/>
      <c r="I60" s="36">
        <v>4.0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</row>
    <row r="61" hidden="1" outlineLevel="1">
      <c r="A61" s="60"/>
      <c r="B61" s="60"/>
      <c r="C61" s="60"/>
      <c r="D61" s="60"/>
      <c r="E61" s="60"/>
      <c r="F61" s="32" t="s">
        <v>74</v>
      </c>
      <c r="G61" s="9"/>
      <c r="H61" s="10"/>
      <c r="I61" s="33" t="s">
        <v>18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</row>
    <row r="62" hidden="1" outlineLevel="1">
      <c r="A62" s="60"/>
      <c r="B62" s="60"/>
      <c r="C62" s="60"/>
      <c r="D62" s="60"/>
      <c r="E62" s="60"/>
      <c r="F62" s="62" t="s">
        <v>75</v>
      </c>
      <c r="G62" s="9"/>
      <c r="H62" s="10"/>
      <c r="I62" s="63">
        <v>5.32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</row>
    <row r="63" hidden="1" outlineLevel="1">
      <c r="A63" s="60"/>
      <c r="B63" s="60"/>
      <c r="C63" s="60"/>
      <c r="D63" s="60"/>
      <c r="E63" s="60"/>
      <c r="F63" s="62" t="s">
        <v>24</v>
      </c>
      <c r="G63" s="9"/>
      <c r="H63" s="10"/>
      <c r="I63" s="64">
        <v>4.31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</row>
    <row r="64" hidden="1" outlineLevel="1">
      <c r="A64" s="60"/>
      <c r="B64" s="60"/>
      <c r="C64" s="60"/>
      <c r="D64" s="60"/>
      <c r="E64" s="60"/>
      <c r="F64" s="32" t="s">
        <v>19</v>
      </c>
      <c r="G64" s="65" t="s">
        <v>76</v>
      </c>
      <c r="H64" s="66" t="s">
        <v>77</v>
      </c>
      <c r="I64" s="33" t="s">
        <v>18</v>
      </c>
      <c r="J64" s="60"/>
      <c r="K64" s="67"/>
      <c r="L64" s="68"/>
      <c r="M64" s="68"/>
      <c r="N64" s="60"/>
      <c r="O64" s="60"/>
      <c r="P64" s="60"/>
      <c r="Q64" s="60"/>
      <c r="R64" s="60"/>
      <c r="S64" s="60"/>
      <c r="T64" s="60"/>
      <c r="U64" s="60"/>
    </row>
    <row r="65" hidden="1" outlineLevel="1">
      <c r="A65" s="60"/>
      <c r="B65" s="60"/>
      <c r="C65" s="60"/>
      <c r="D65" s="60"/>
      <c r="E65" s="60"/>
      <c r="F65" s="62" t="s">
        <v>21</v>
      </c>
      <c r="G65" s="63" t="s">
        <v>78</v>
      </c>
      <c r="H65" s="63">
        <v>0.0</v>
      </c>
      <c r="I65" s="69">
        <v>4.75</v>
      </c>
      <c r="J65" s="60"/>
      <c r="K65" s="67"/>
      <c r="L65" s="68"/>
      <c r="N65" s="60"/>
      <c r="O65" s="60"/>
      <c r="P65" s="60"/>
      <c r="Q65" s="60"/>
      <c r="R65" s="60"/>
      <c r="S65" s="60"/>
      <c r="T65" s="60"/>
      <c r="U65" s="60"/>
    </row>
    <row r="66" hidden="1" outlineLevel="1">
      <c r="A66" s="60"/>
      <c r="B66" s="60"/>
      <c r="C66" s="60"/>
      <c r="D66" s="60"/>
      <c r="E66" s="60"/>
      <c r="F66" s="62" t="s">
        <v>23</v>
      </c>
      <c r="G66" s="63" t="s">
        <v>78</v>
      </c>
      <c r="H66" s="63">
        <v>0.0</v>
      </c>
      <c r="I66" s="69">
        <v>7.33</v>
      </c>
      <c r="J66" s="60"/>
      <c r="K66" s="67"/>
      <c r="L66" s="70"/>
      <c r="N66" s="60"/>
      <c r="O66" s="60"/>
      <c r="P66" s="60"/>
      <c r="Q66" s="60"/>
      <c r="R66" s="60"/>
      <c r="S66" s="60"/>
      <c r="T66" s="60"/>
      <c r="U66" s="60"/>
    </row>
    <row r="67" hidden="1" outlineLevel="1">
      <c r="A67" s="60"/>
      <c r="B67" s="60"/>
      <c r="C67" s="60"/>
      <c r="D67" s="60"/>
      <c r="E67" s="60"/>
      <c r="F67" s="62" t="s">
        <v>25</v>
      </c>
      <c r="G67" s="63" t="s">
        <v>78</v>
      </c>
      <c r="H67" s="63">
        <v>0.0</v>
      </c>
      <c r="I67" s="69">
        <v>6.6</v>
      </c>
      <c r="J67" s="60"/>
      <c r="K67" s="67"/>
      <c r="L67" s="70"/>
      <c r="N67" s="60"/>
      <c r="O67" s="60"/>
      <c r="P67" s="60"/>
      <c r="Q67" s="60"/>
      <c r="R67" s="60"/>
      <c r="S67" s="60"/>
      <c r="T67" s="60"/>
      <c r="U67" s="60"/>
    </row>
    <row r="68" hidden="1" outlineLevel="1">
      <c r="A68" s="60"/>
      <c r="B68" s="60"/>
      <c r="C68" s="60"/>
      <c r="D68" s="60"/>
      <c r="E68" s="60"/>
      <c r="F68" s="62" t="s">
        <v>26</v>
      </c>
      <c r="G68" s="63" t="s">
        <v>78</v>
      </c>
      <c r="H68" s="63">
        <v>0.0</v>
      </c>
      <c r="I68" s="69">
        <v>1.95</v>
      </c>
      <c r="J68" s="60"/>
      <c r="K68" s="70"/>
      <c r="L68" s="68"/>
      <c r="M68" s="68"/>
      <c r="N68" s="61"/>
      <c r="O68" s="60"/>
      <c r="P68" s="60"/>
      <c r="Q68" s="60"/>
      <c r="R68" s="60"/>
      <c r="S68" s="60"/>
      <c r="T68" s="60"/>
      <c r="U68" s="60"/>
    </row>
    <row r="69" hidden="1" outlineLevel="1">
      <c r="A69" s="60"/>
      <c r="B69" s="60"/>
      <c r="C69" s="60"/>
      <c r="D69" s="60"/>
      <c r="E69" s="60"/>
      <c r="F69" s="62" t="s">
        <v>79</v>
      </c>
      <c r="G69" s="9"/>
      <c r="H69" s="63">
        <f>SUM(H65:H68)</f>
        <v>0</v>
      </c>
      <c r="I69" s="60"/>
      <c r="J69" s="60"/>
      <c r="K69" s="68"/>
      <c r="L69" s="68"/>
      <c r="M69" s="68"/>
      <c r="N69" s="61"/>
      <c r="O69" s="60"/>
      <c r="P69" s="60"/>
      <c r="Q69" s="60"/>
      <c r="R69" s="60"/>
      <c r="S69" s="60"/>
      <c r="T69" s="60"/>
      <c r="U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>
      <c r="B71" s="26" t="str">
        <f>B8</f>
        <v>IIC2713 Sistemas de Información</v>
      </c>
      <c r="C71" s="3"/>
      <c r="D71" s="3"/>
      <c r="E71" s="3"/>
      <c r="F71" s="3"/>
      <c r="G71" s="4"/>
      <c r="H71" s="27" t="s">
        <v>13</v>
      </c>
      <c r="I71" s="28" t="s">
        <v>52</v>
      </c>
    </row>
    <row r="72">
      <c r="B72" s="5"/>
      <c r="C72" s="6"/>
      <c r="D72" s="6"/>
      <c r="E72" s="6"/>
      <c r="F72" s="6"/>
      <c r="G72" s="7"/>
      <c r="H72" s="11">
        <f>I8</f>
        <v>10</v>
      </c>
      <c r="I72" s="43">
        <f>IFERROR(
  (IF(E74&gt;0,0.3*E74,0)+IF(E75&gt;0,0.55*E75,0)+IF(E76&gt;0,0.15*E76,0)) /
  (IF(E74&gt;0,0.3,0)+IF(E75&gt;0,0.55,0)+IF(E76&gt;0,0.15,0)),
  "")
</f>
        <v>5.59829375</v>
      </c>
    </row>
    <row r="73" outlineLevel="1">
      <c r="B73" s="32" t="s">
        <v>17</v>
      </c>
      <c r="C73" s="9"/>
      <c r="D73" s="10"/>
      <c r="E73" s="33" t="s">
        <v>18</v>
      </c>
      <c r="F73" s="32" t="s">
        <v>80</v>
      </c>
      <c r="G73" s="9"/>
      <c r="H73" s="71" t="s">
        <v>55</v>
      </c>
      <c r="I73" s="33" t="s">
        <v>18</v>
      </c>
    </row>
    <row r="74" outlineLevel="1">
      <c r="B74" s="37" t="s">
        <v>81</v>
      </c>
      <c r="C74" s="9"/>
      <c r="D74" s="10"/>
      <c r="E74" s="45">
        <f>IFERROR(AVERAGEIF(I74:I75,"&gt;0"),"")
</f>
        <v>5.645</v>
      </c>
      <c r="F74" s="37" t="s">
        <v>82</v>
      </c>
      <c r="G74" s="9"/>
      <c r="H74" s="10"/>
      <c r="I74" s="45">
        <v>5.15</v>
      </c>
    </row>
    <row r="75" outlineLevel="1">
      <c r="B75" s="37" t="s">
        <v>19</v>
      </c>
      <c r="C75" s="9"/>
      <c r="D75" s="10"/>
      <c r="E75" s="45">
        <f> ((I78+I79+I80+I81)/4)*0.65 + I82*0.35
</f>
        <v>6.409625</v>
      </c>
      <c r="F75" s="37" t="s">
        <v>83</v>
      </c>
      <c r="G75" s="9"/>
      <c r="H75" s="10"/>
      <c r="I75" s="45">
        <v>6.14</v>
      </c>
    </row>
    <row r="76" outlineLevel="1">
      <c r="B76" s="38" t="s">
        <v>84</v>
      </c>
      <c r="C76" s="3"/>
      <c r="D76" s="4"/>
      <c r="E76" s="49">
        <v>2.53</v>
      </c>
      <c r="F76" s="37" t="s">
        <v>85</v>
      </c>
      <c r="G76" s="9"/>
      <c r="H76" s="9"/>
      <c r="I76" s="10"/>
    </row>
    <row r="77" outlineLevel="1">
      <c r="B77" s="40"/>
      <c r="C77" s="3"/>
      <c r="D77" s="3"/>
      <c r="E77" s="59"/>
      <c r="F77" s="65" t="s">
        <v>19</v>
      </c>
      <c r="G77" s="9"/>
      <c r="H77" s="10"/>
      <c r="I77" s="33" t="s">
        <v>18</v>
      </c>
    </row>
    <row r="78" outlineLevel="1">
      <c r="B78" s="53"/>
      <c r="C78" s="53"/>
      <c r="D78" s="53"/>
      <c r="E78" s="55"/>
      <c r="F78" s="42" t="s">
        <v>21</v>
      </c>
      <c r="G78" s="9"/>
      <c r="H78" s="10"/>
      <c r="I78" s="45">
        <v>5.95</v>
      </c>
    </row>
    <row r="79" outlineLevel="1">
      <c r="B79" s="53"/>
      <c r="C79" s="53"/>
      <c r="D79" s="53"/>
      <c r="E79" s="55"/>
      <c r="F79" s="42" t="s">
        <v>23</v>
      </c>
      <c r="G79" s="9"/>
      <c r="H79" s="10"/>
      <c r="I79" s="45">
        <v>7.0</v>
      </c>
    </row>
    <row r="80" outlineLevel="1">
      <c r="B80" s="53"/>
      <c r="C80" s="53"/>
      <c r="D80" s="53"/>
      <c r="E80" s="55"/>
      <c r="F80" s="42" t="s">
        <v>25</v>
      </c>
      <c r="G80" s="9"/>
      <c r="H80" s="10"/>
      <c r="I80" s="45">
        <v>6.88</v>
      </c>
    </row>
    <row r="81" outlineLevel="1">
      <c r="B81" s="53"/>
      <c r="C81" s="53"/>
      <c r="D81" s="53"/>
      <c r="E81" s="55"/>
      <c r="F81" s="42" t="s">
        <v>26</v>
      </c>
      <c r="G81" s="9"/>
      <c r="H81" s="10"/>
      <c r="I81" s="45">
        <v>6.82</v>
      </c>
    </row>
    <row r="82" outlineLevel="1">
      <c r="B82" s="53"/>
      <c r="E82" s="55"/>
      <c r="F82" s="42" t="s">
        <v>86</v>
      </c>
      <c r="G82" s="9"/>
      <c r="H82" s="10"/>
      <c r="I82" s="45">
        <v>5.94</v>
      </c>
    </row>
    <row r="84">
      <c r="B84" s="26" t="str">
        <f>B9</f>
        <v>EAG170A Resolución Creativa de Problemas</v>
      </c>
      <c r="C84" s="3"/>
      <c r="D84" s="3"/>
      <c r="E84" s="3"/>
      <c r="F84" s="3"/>
      <c r="G84" s="4"/>
      <c r="H84" s="27" t="s">
        <v>13</v>
      </c>
      <c r="I84" s="72" t="s">
        <v>87</v>
      </c>
    </row>
    <row r="85" collapsed="1">
      <c r="B85" s="5"/>
      <c r="C85" s="6"/>
      <c r="D85" s="6"/>
      <c r="E85" s="6"/>
      <c r="F85" s="6"/>
      <c r="G85" s="7"/>
      <c r="H85" s="11">
        <f>I9</f>
        <v>10</v>
      </c>
      <c r="I85" s="43">
        <f>IFERROR(SUMPRODUCT(D87:D90,E87:E90)/SUMIF(E87:E90,"&gt;0",D87:D90),"")
</f>
        <v>6.51</v>
      </c>
    </row>
    <row r="86" hidden="1" outlineLevel="1">
      <c r="B86" s="32" t="s">
        <v>17</v>
      </c>
      <c r="C86" s="9"/>
      <c r="D86" s="33" t="s">
        <v>55</v>
      </c>
      <c r="E86" s="33" t="s">
        <v>18</v>
      </c>
      <c r="F86" s="32" t="s">
        <v>88</v>
      </c>
      <c r="G86" s="9"/>
      <c r="H86" s="10"/>
      <c r="I86" s="33" t="s">
        <v>18</v>
      </c>
    </row>
    <row r="87" hidden="1" outlineLevel="1">
      <c r="B87" s="73" t="s">
        <v>19</v>
      </c>
      <c r="C87" s="9"/>
      <c r="D87" s="57">
        <v>0.3</v>
      </c>
      <c r="E87" s="36">
        <f>IFERROR(AVERAGEIF(I87:I89,"&gt;0"),"")
</f>
        <v>6.366666667</v>
      </c>
      <c r="F87" s="37" t="s">
        <v>21</v>
      </c>
      <c r="G87" s="9"/>
      <c r="H87" s="10"/>
      <c r="I87" s="36">
        <v>6.3</v>
      </c>
    </row>
    <row r="88" hidden="1" outlineLevel="1">
      <c r="B88" s="37" t="s">
        <v>89</v>
      </c>
      <c r="C88" s="9"/>
      <c r="D88" s="57">
        <v>0.2</v>
      </c>
      <c r="E88" s="36">
        <f>IFERROR(AVERAGEIF(I91:I92,"&gt;0"),"")
</f>
        <v>7</v>
      </c>
      <c r="F88" s="37" t="s">
        <v>23</v>
      </c>
      <c r="G88" s="9"/>
      <c r="H88" s="10"/>
      <c r="I88" s="36">
        <v>5.8</v>
      </c>
    </row>
    <row r="89" hidden="1" outlineLevel="1">
      <c r="B89" s="37" t="s">
        <v>90</v>
      </c>
      <c r="C89" s="9"/>
      <c r="D89" s="57">
        <v>0.3</v>
      </c>
      <c r="E89" s="36">
        <v>6.4</v>
      </c>
      <c r="F89" s="37" t="s">
        <v>25</v>
      </c>
      <c r="G89" s="9"/>
      <c r="H89" s="10"/>
      <c r="I89" s="36">
        <v>7.0</v>
      </c>
    </row>
    <row r="90" hidden="1" outlineLevel="1">
      <c r="B90" s="37" t="s">
        <v>91</v>
      </c>
      <c r="C90" s="9"/>
      <c r="D90" s="74">
        <v>0.2</v>
      </c>
      <c r="E90" s="36">
        <v>6.4</v>
      </c>
      <c r="F90" s="32" t="s">
        <v>92</v>
      </c>
      <c r="G90" s="9"/>
      <c r="H90" s="10"/>
      <c r="I90" s="33" t="s">
        <v>18</v>
      </c>
    </row>
    <row r="91" hidden="1" outlineLevel="1">
      <c r="B91" s="40"/>
      <c r="C91" s="40"/>
      <c r="D91" s="40"/>
      <c r="E91" s="40"/>
      <c r="F91" s="37" t="s">
        <v>93</v>
      </c>
      <c r="G91" s="9"/>
      <c r="H91" s="10"/>
      <c r="I91" s="36">
        <v>7.0</v>
      </c>
    </row>
    <row r="92" hidden="1" outlineLevel="1">
      <c r="B92" s="53"/>
      <c r="C92" s="53"/>
      <c r="D92" s="53"/>
      <c r="E92" s="53"/>
      <c r="F92" s="37" t="s">
        <v>94</v>
      </c>
      <c r="G92" s="9"/>
      <c r="H92" s="10"/>
      <c r="I92" s="36">
        <v>7.0</v>
      </c>
    </row>
    <row r="93">
      <c r="B93" s="53"/>
      <c r="C93" s="53"/>
      <c r="D93" s="53"/>
      <c r="E93" s="53"/>
      <c r="F93" s="1"/>
      <c r="G93" s="1"/>
      <c r="H93" s="1"/>
      <c r="I93" s="1"/>
    </row>
    <row r="94">
      <c r="B94" s="26" t="str">
        <f>B10</f>
        <v>TTF115 Virgen María y Feminismo: ¿Diálogo o Confrontación?</v>
      </c>
      <c r="C94" s="3"/>
      <c r="D94" s="3"/>
      <c r="E94" s="3"/>
      <c r="F94" s="3"/>
      <c r="G94" s="4"/>
      <c r="H94" s="27" t="s">
        <v>13</v>
      </c>
      <c r="I94" s="28" t="s">
        <v>95</v>
      </c>
    </row>
    <row r="95" collapsed="1">
      <c r="B95" s="5"/>
      <c r="C95" s="6"/>
      <c r="D95" s="6"/>
      <c r="E95" s="6"/>
      <c r="F95" s="6"/>
      <c r="G95" s="7"/>
      <c r="H95" s="11">
        <f>I10</f>
        <v>10</v>
      </c>
      <c r="I95" s="43">
        <f>IFERROR(SUMPRODUCT(D97:D100,E97:E100)/SUMIF(E97:E100,"&gt;0",D97:D100),"")
</f>
        <v>5.9</v>
      </c>
    </row>
    <row r="96" hidden="1" outlineLevel="1">
      <c r="B96" s="32" t="s">
        <v>17</v>
      </c>
      <c r="C96" s="9"/>
      <c r="D96" s="33" t="s">
        <v>55</v>
      </c>
      <c r="E96" s="33" t="s">
        <v>18</v>
      </c>
      <c r="F96" s="32" t="s">
        <v>88</v>
      </c>
      <c r="G96" s="9"/>
      <c r="H96" s="10"/>
      <c r="I96" s="33" t="s">
        <v>18</v>
      </c>
    </row>
    <row r="97" hidden="1" outlineLevel="1">
      <c r="B97" s="37" t="s">
        <v>88</v>
      </c>
      <c r="C97" s="9"/>
      <c r="D97" s="57">
        <v>0.5</v>
      </c>
      <c r="E97" s="36">
        <f>IFERROR(AVERAGEIF(I97:I101,"&gt;0"),"")
</f>
        <v>6.64</v>
      </c>
      <c r="F97" s="37" t="s">
        <v>96</v>
      </c>
      <c r="G97" s="9"/>
      <c r="H97" s="10"/>
      <c r="I97" s="36">
        <v>6.3</v>
      </c>
    </row>
    <row r="98" hidden="1" outlineLevel="1">
      <c r="B98" s="37" t="s">
        <v>97</v>
      </c>
      <c r="C98" s="9"/>
      <c r="D98" s="57">
        <v>0.1</v>
      </c>
      <c r="E98" s="36">
        <v>6.8</v>
      </c>
      <c r="F98" s="37" t="s">
        <v>98</v>
      </c>
      <c r="G98" s="9"/>
      <c r="H98" s="10"/>
      <c r="I98" s="36">
        <v>5.9</v>
      </c>
    </row>
    <row r="99" hidden="1" outlineLevel="1">
      <c r="B99" s="37" t="s">
        <v>99</v>
      </c>
      <c r="C99" s="9"/>
      <c r="D99" s="74">
        <v>0.2</v>
      </c>
      <c r="E99" s="36">
        <v>3.6</v>
      </c>
      <c r="F99" s="37" t="s">
        <v>100</v>
      </c>
      <c r="G99" s="9"/>
      <c r="H99" s="10"/>
      <c r="I99" s="36">
        <v>7.0</v>
      </c>
    </row>
    <row r="100" hidden="1" outlineLevel="1">
      <c r="B100" s="37" t="s">
        <v>24</v>
      </c>
      <c r="C100" s="9"/>
      <c r="D100" s="74">
        <v>0.2</v>
      </c>
      <c r="E100" s="36"/>
      <c r="F100" s="37" t="s">
        <v>101</v>
      </c>
      <c r="G100" s="9"/>
      <c r="H100" s="10"/>
      <c r="I100" s="36">
        <v>7.0</v>
      </c>
    </row>
    <row r="101" hidden="1" outlineLevel="1">
      <c r="F101" s="37" t="s">
        <v>102</v>
      </c>
      <c r="G101" s="9"/>
      <c r="H101" s="10"/>
      <c r="I101" s="36">
        <v>7.0</v>
      </c>
    </row>
  </sheetData>
  <mergeCells count="141">
    <mergeCell ref="O25:Q25"/>
    <mergeCell ref="O26:Q26"/>
    <mergeCell ref="O27:Q27"/>
    <mergeCell ref="O28:Q28"/>
    <mergeCell ref="O29:Q29"/>
    <mergeCell ref="O31:Q31"/>
    <mergeCell ref="O32:Q32"/>
    <mergeCell ref="O40:Q40"/>
    <mergeCell ref="O41:Q41"/>
    <mergeCell ref="O42:Q42"/>
    <mergeCell ref="O43:Q43"/>
    <mergeCell ref="O33:Q33"/>
    <mergeCell ref="O34:Q34"/>
    <mergeCell ref="O35:Q35"/>
    <mergeCell ref="O36:Q36"/>
    <mergeCell ref="O37:Q37"/>
    <mergeCell ref="O38:Q38"/>
    <mergeCell ref="O39:Q39"/>
    <mergeCell ref="B2:I3"/>
    <mergeCell ref="B4:F4"/>
    <mergeCell ref="B5:F5"/>
    <mergeCell ref="B6:F6"/>
    <mergeCell ref="B7:F7"/>
    <mergeCell ref="B8:F8"/>
    <mergeCell ref="B9:F9"/>
    <mergeCell ref="B10:F10"/>
    <mergeCell ref="B11:F11"/>
    <mergeCell ref="B13:I13"/>
    <mergeCell ref="B15:E16"/>
    <mergeCell ref="B17:D17"/>
    <mergeCell ref="F17:H17"/>
    <mergeCell ref="F18:H18"/>
    <mergeCell ref="K26:M26"/>
    <mergeCell ref="K27:M27"/>
    <mergeCell ref="K28:M28"/>
    <mergeCell ref="K29:M29"/>
    <mergeCell ref="K31:M31"/>
    <mergeCell ref="F19:H19"/>
    <mergeCell ref="F20:H20"/>
    <mergeCell ref="F21:H21"/>
    <mergeCell ref="F25:H25"/>
    <mergeCell ref="K25:M25"/>
    <mergeCell ref="F26:H26"/>
    <mergeCell ref="F27:H27"/>
    <mergeCell ref="B18:D18"/>
    <mergeCell ref="B19:D19"/>
    <mergeCell ref="B20:D20"/>
    <mergeCell ref="B21:D21"/>
    <mergeCell ref="B23:F24"/>
    <mergeCell ref="B25:D25"/>
    <mergeCell ref="B26:D26"/>
    <mergeCell ref="B27:D27"/>
    <mergeCell ref="B28:D28"/>
    <mergeCell ref="F28:H28"/>
    <mergeCell ref="B29:D29"/>
    <mergeCell ref="F29:H29"/>
    <mergeCell ref="F30:H30"/>
    <mergeCell ref="B31:D31"/>
    <mergeCell ref="F31:H31"/>
    <mergeCell ref="F32:H32"/>
    <mergeCell ref="F33:H33"/>
    <mergeCell ref="F34:H34"/>
    <mergeCell ref="F35:H35"/>
    <mergeCell ref="F36:H36"/>
    <mergeCell ref="F37:H37"/>
    <mergeCell ref="F78:H78"/>
    <mergeCell ref="F79:H79"/>
    <mergeCell ref="F80:H80"/>
    <mergeCell ref="F81:H81"/>
    <mergeCell ref="B82:D82"/>
    <mergeCell ref="F82:H82"/>
    <mergeCell ref="B84:G85"/>
    <mergeCell ref="B89:C89"/>
    <mergeCell ref="B90:C90"/>
    <mergeCell ref="B86:C86"/>
    <mergeCell ref="F86:H86"/>
    <mergeCell ref="B87:C87"/>
    <mergeCell ref="F87:H87"/>
    <mergeCell ref="B88:C88"/>
    <mergeCell ref="F88:H88"/>
    <mergeCell ref="F89:H89"/>
    <mergeCell ref="B97:C97"/>
    <mergeCell ref="B98:C98"/>
    <mergeCell ref="B99:C99"/>
    <mergeCell ref="B100:C100"/>
    <mergeCell ref="F98:H98"/>
    <mergeCell ref="F99:H99"/>
    <mergeCell ref="F100:H100"/>
    <mergeCell ref="F101:H101"/>
    <mergeCell ref="F90:H90"/>
    <mergeCell ref="F91:H91"/>
    <mergeCell ref="F92:H92"/>
    <mergeCell ref="B94:G95"/>
    <mergeCell ref="B96:C96"/>
    <mergeCell ref="F96:H96"/>
    <mergeCell ref="F97:H97"/>
    <mergeCell ref="F38:H38"/>
    <mergeCell ref="F39:H39"/>
    <mergeCell ref="F40:H40"/>
    <mergeCell ref="F41:H41"/>
    <mergeCell ref="F42:H42"/>
    <mergeCell ref="F43:H43"/>
    <mergeCell ref="B45:F46"/>
    <mergeCell ref="B50:C50"/>
    <mergeCell ref="B51:C51"/>
    <mergeCell ref="B52:C52"/>
    <mergeCell ref="B47:C47"/>
    <mergeCell ref="F47:H47"/>
    <mergeCell ref="B48:C48"/>
    <mergeCell ref="F48:H48"/>
    <mergeCell ref="B49:C49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L65:M65"/>
    <mergeCell ref="L66:M66"/>
    <mergeCell ref="L67:M67"/>
    <mergeCell ref="F69:G69"/>
    <mergeCell ref="B71:G72"/>
    <mergeCell ref="B73:D73"/>
    <mergeCell ref="F73:G73"/>
    <mergeCell ref="F74:H74"/>
    <mergeCell ref="B74:D74"/>
    <mergeCell ref="B75:D75"/>
    <mergeCell ref="F75:H75"/>
    <mergeCell ref="B76:D76"/>
    <mergeCell ref="F76:I76"/>
    <mergeCell ref="B77:D77"/>
    <mergeCell ref="F77:H77"/>
  </mergeCells>
  <dataValidations>
    <dataValidation type="list" allowBlank="1" showErrorMessage="1" sqref="G65:G68">
      <formula1>"24 hrs,48 hrs,No atraso"</formula1>
    </dataValidation>
  </dataValidations>
  <drawing r:id="rId1"/>
</worksheet>
</file>