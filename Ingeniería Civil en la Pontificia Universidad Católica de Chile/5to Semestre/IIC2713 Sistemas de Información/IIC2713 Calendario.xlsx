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\Downloads\"/>
    </mc:Choice>
  </mc:AlternateContent>
  <xr:revisionPtr revIDLastSave="0" documentId="8_{4E7AD840-3967-4DCB-976D-0D867F7E500E}" xr6:coauthVersionLast="47" xr6:coauthVersionMax="47" xr10:uidLastSave="{00000000-0000-0000-0000-000000000000}"/>
  <bookViews>
    <workbookView xWindow="-108" yWindow="-108" windowWidth="23256" windowHeight="12456" xr2:uid="{9305A929-481A-4ECA-9051-7AA27A623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9" i="1" s="1"/>
  <c r="B12" i="1" s="1"/>
  <c r="B15" i="1" s="1"/>
  <c r="B18" i="1" s="1"/>
  <c r="B21" i="1" s="1"/>
  <c r="B24" i="1" s="1"/>
  <c r="B27" i="1" s="1"/>
  <c r="B30" i="1" s="1"/>
  <c r="B33" i="1" s="1"/>
  <c r="B36" i="1" s="1"/>
  <c r="B39" i="1" s="1"/>
  <c r="B42" i="1" s="1"/>
  <c r="B45" i="1" s="1"/>
  <c r="B48" i="1" s="1"/>
  <c r="D3" i="1"/>
  <c r="D4" i="1" s="1"/>
  <c r="D5" i="1" l="1"/>
  <c r="D6" i="1" s="1"/>
  <c r="D7" i="1" s="1"/>
  <c r="D8" i="1" l="1"/>
  <c r="D9" i="1" s="1"/>
  <c r="D10" i="1" s="1"/>
  <c r="D11" i="1" l="1"/>
  <c r="D12" i="1" s="1"/>
  <c r="D13" i="1" s="1"/>
  <c r="D14" i="1"/>
  <c r="D15" i="1" s="1"/>
  <c r="D16" i="1" l="1"/>
  <c r="D17" i="1"/>
  <c r="D18" i="1" s="1"/>
  <c r="D19" i="1" l="1"/>
  <c r="D20" i="1"/>
  <c r="D21" i="1" s="1"/>
  <c r="D22" i="1" l="1"/>
  <c r="D23" i="1"/>
  <c r="D24" i="1" s="1"/>
  <c r="D25" i="1" l="1"/>
  <c r="D26" i="1"/>
  <c r="D27" i="1" s="1"/>
  <c r="D28" i="1" l="1"/>
  <c r="D29" i="1"/>
  <c r="D30" i="1" s="1"/>
  <c r="D32" i="1" l="1"/>
  <c r="D33" i="1" s="1"/>
  <c r="D31" i="1"/>
  <c r="D34" i="1" l="1"/>
  <c r="D35" i="1"/>
  <c r="D36" i="1" s="1"/>
  <c r="D38" i="1" l="1"/>
  <c r="D39" i="1" s="1"/>
  <c r="D37" i="1"/>
  <c r="D40" i="1" l="1"/>
  <c r="D41" i="1"/>
  <c r="D42" i="1" s="1"/>
  <c r="D44" i="1" l="1"/>
  <c r="D45" i="1" s="1"/>
  <c r="D43" i="1"/>
  <c r="D46" i="1" l="1"/>
  <c r="D47" i="1"/>
  <c r="D48" i="1" s="1"/>
  <c r="D50" i="1" l="1"/>
  <c r="D49" i="1"/>
</calcChain>
</file>

<file path=xl/sharedStrings.xml><?xml version="1.0" encoding="utf-8"?>
<sst xmlns="http://schemas.openxmlformats.org/spreadsheetml/2006/main" count="142" uniqueCount="83">
  <si>
    <t>Macrotema</t>
  </si>
  <si>
    <t>S</t>
  </si>
  <si>
    <t>Día</t>
  </si>
  <si>
    <t>Fecha</t>
  </si>
  <si>
    <t>Temas</t>
  </si>
  <si>
    <t>Tareas</t>
  </si>
  <si>
    <t>Desafíos</t>
  </si>
  <si>
    <t>Lecturas</t>
  </si>
  <si>
    <t>Presentación</t>
  </si>
  <si>
    <t>Ma</t>
  </si>
  <si>
    <t>Introducción al Curso</t>
  </si>
  <si>
    <t>Mie</t>
  </si>
  <si>
    <t>Organizaciones y Sistemas</t>
  </si>
  <si>
    <t>Jue</t>
  </si>
  <si>
    <t>Introducción a Sistemas de Información
Procesos de Negocio y Funciones de los SI</t>
  </si>
  <si>
    <t>- Laudon, Capt. 1: Sistemas de información contemporáneos
- Laudon, Capt. 2: Negocio electrónico global y colaboración</t>
  </si>
  <si>
    <t>Publicar Tarea 1</t>
  </si>
  <si>
    <t>Publicar Desafío 1</t>
  </si>
  <si>
    <t>Organización y Estrategia</t>
  </si>
  <si>
    <t>- Laudon, Capt. 3: Sistemas de información, orgs. y estrategia</t>
  </si>
  <si>
    <t>Ayudantía Tarea 1</t>
  </si>
  <si>
    <t>Desafío 1 (Entrega)</t>
  </si>
  <si>
    <t>Tarea 1: Alienamiento Estrategia y TI</t>
  </si>
  <si>
    <t>Publicar Tarea 2</t>
  </si>
  <si>
    <t>Modelos de Procesos</t>
  </si>
  <si>
    <t>Modelos de Procesos de Negocio (BPM)</t>
  </si>
  <si>
    <t>Desafío 1 (Presentación)</t>
  </si>
  <si>
    <t>- Hitpass, Introducción a gestión orientada a procesos</t>
  </si>
  <si>
    <t>Ayudantía Tarea 2</t>
  </si>
  <si>
    <t>- Laudon, Capt. 9: Excelencia op.: Aplicaciones empresariales</t>
  </si>
  <si>
    <t>Publicar Desafío 2</t>
  </si>
  <si>
    <t>Aplicaciones Empresariales</t>
  </si>
  <si>
    <t>Mercados y Plataformas Digitales
Gestión del Conocimiento</t>
  </si>
  <si>
    <t>Tarea 2: BPM</t>
  </si>
  <si>
    <t>Desafío 2 (Entrega)</t>
  </si>
  <si>
    <t>- Laudon, Capt. 10: E-commerce: Mercados y pdtos. digitales
- Laudon, Capt. 11: Administración del conocimiento</t>
  </si>
  <si>
    <t>Publicar Tarea 3</t>
  </si>
  <si>
    <t>Ayudantía Tarea 3</t>
  </si>
  <si>
    <t>Infraestructura TI &amp; Business Intelligence</t>
  </si>
  <si>
    <t>Infraestructura TI</t>
  </si>
  <si>
    <t>- Laudon, Capt. 5: Infraestructura TI y tecnologías emergentes</t>
  </si>
  <si>
    <t>Desafío 2 (Presentación)</t>
  </si>
  <si>
    <t>- Laudon, Capt. 6: Intel. negocios: Gestión de la información
- Laudon, Capt. 7: Telecomunicaciones, Internet y tecnología inalámbrica</t>
  </si>
  <si>
    <t>Seguridad TI</t>
  </si>
  <si>
    <t>Tarea 3: ERP</t>
  </si>
  <si>
    <t>Indicadores TI (KPI, OKR y otros)</t>
  </si>
  <si>
    <t>Ayudantía Interrogación 1</t>
  </si>
  <si>
    <t>Laudon, Capt. 8: Seguridad en sistemas de información</t>
  </si>
  <si>
    <r>
      <t xml:space="preserve">Publicar Tarea 4: </t>
    </r>
    <r>
      <rPr>
        <sz val="10"/>
        <color rgb="FFFF0000"/>
        <rFont val="Arial"/>
        <family val="2"/>
      </rPr>
      <t>Excel (Tablas dinámicas), Python (Pandas), Power BI (Dashboard, SQL)</t>
    </r>
  </si>
  <si>
    <t>Transformación Digital &amp; AI for Business</t>
  </si>
  <si>
    <t>- Iansiti &amp; Lakhani, Competing in the age of AI
- Gobierno Digital, SEGPRESS, transformaciondigital.gob.cl</t>
  </si>
  <si>
    <t>Publicar Desafío 3</t>
  </si>
  <si>
    <t>AI for Business</t>
  </si>
  <si>
    <t>Tarea 4: BI (Excel, Python, Power BI)</t>
  </si>
  <si>
    <t>Publicar Tarea 5</t>
  </si>
  <si>
    <t>Desafío 3 (Entrega)</t>
  </si>
  <si>
    <t>Desafío 3 (Presentación)</t>
  </si>
  <si>
    <t>- Laudon, Capt. 14: Administración de proyectos
- Laudon, Capt. 13: Creación de sistemas de información</t>
  </si>
  <si>
    <t>- Schwab. The Fourth Industrial Revolution. WEF
- Frey, C.B. &amp; Osborne, M. 2013. “The Future of Employment: How susceptible are jobs to computerisation?”  Oxford U. working paper
- Mokyer et al 2015. “The History of Technological Anxiety and the Future of Economic Growth." J. Economic Perspectives</t>
  </si>
  <si>
    <t>Interrogación y Evaluaciones Finales</t>
  </si>
  <si>
    <t>Ayudantía Tarea 5</t>
  </si>
  <si>
    <t>Transformación Digital en las Organizaciones y la Economía</t>
  </si>
  <si>
    <t>Presentaciones Tarea 5</t>
  </si>
  <si>
    <t>Feriado: Jueves Santo</t>
  </si>
  <si>
    <t>Semana de Receso</t>
  </si>
  <si>
    <t>Feriado</t>
  </si>
  <si>
    <t>EXAMEN, sólo si faltan con justificativo a una de las dos interrogaciones (TBA)</t>
  </si>
  <si>
    <t>Ayudantía Interrogación 2</t>
  </si>
  <si>
    <t>Tarea 5: Proyectos de Transformación Digital (Viernes 13/Jun)</t>
  </si>
  <si>
    <t xml:space="preserve">INTERROGACIÓN 1 (15/Abril)
</t>
  </si>
  <si>
    <t>Ayudantía Tarea 4</t>
  </si>
  <si>
    <t>Posible Sesión especial</t>
  </si>
  <si>
    <t>Posible Sesión especial: Sergio Murúa (Proyectos Transf. Digital)</t>
  </si>
  <si>
    <t xml:space="preserve">Redes y Cloud Computing
</t>
  </si>
  <si>
    <t>AI Introducción, AI for Business</t>
  </si>
  <si>
    <t xml:space="preserve">Transformación Digital
</t>
  </si>
  <si>
    <t xml:space="preserve">Aplicaciones Empresariales: CRM, SCM </t>
  </si>
  <si>
    <t>Aplicaciones Empresariales: ERP y Plataformas digitales</t>
  </si>
  <si>
    <t>Business Intelligence (BI) y Big Data (bases de datos)</t>
  </si>
  <si>
    <t xml:space="preserve">INTERROGACIÓN 2 (07/Junio)
</t>
  </si>
  <si>
    <t>|</t>
  </si>
  <si>
    <t>Sesión invitado CiberSeguridad</t>
  </si>
  <si>
    <t>Ayudantía citas, ética y formato de tareas y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</si>
</sst>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0000"/>
      <name val="Aptos Narrow"/>
      <family val="2"/>
      <scheme val="minor"/>
    </font>
    <font>
      <i/>
      <sz val="10"/>
      <color theme="1"/>
      <name val="Arial"/>
      <family val="2"/>
    </font>
    <font>
      <i/>
      <sz val="10"/>
      <color rgb="FF000000"/>
      <name val="Aptos Narrow"/>
      <family val="2"/>
      <scheme val="minor"/>
    </font>
    <font>
      <b/>
      <i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1"/>
      <color theme="0"/>
      <name val="Aptos Narrow"/>
      <family val="2"/>
      <scheme val="minor"/>
    </font>
    <font>
      <b/>
      <i/>
      <sz val="10"/>
      <color rgb="FFFF0000"/>
      <name val="Arial"/>
      <family val="2"/>
    </font>
    <font>
      <i/>
      <sz val="9"/>
      <color theme="1"/>
      <name val="Arial"/>
      <family val="2"/>
    </font>
    <font>
      <i/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2F1DA"/>
        <bgColor rgb="FFD2F1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D9F1F3"/>
      </patternFill>
    </fill>
    <fill>
      <patternFill patternType="solid">
        <fgColor rgb="FFF6B3AE"/>
        <bgColor rgb="FFF6B3AE"/>
      </patternFill>
    </fill>
    <fill>
      <patternFill patternType="solid">
        <fgColor theme="5" tint="0.39997558519241921"/>
        <bgColor rgb="FFFFC499"/>
      </patternFill>
    </fill>
    <fill>
      <patternFill patternType="solid">
        <fgColor theme="9"/>
        <bgColor rgb="FF8FD7DC"/>
      </patternFill>
    </fill>
    <fill>
      <patternFill patternType="solid">
        <fgColor rgb="FFD9E6FC"/>
        <bgColor rgb="FFD9E6FC"/>
      </patternFill>
    </fill>
    <fill>
      <patternFill patternType="solid">
        <fgColor rgb="FFFFC0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theme="9" tint="0.59999389629810485"/>
        <bgColor rgb="FF7AD592"/>
      </patternFill>
    </fill>
    <fill>
      <patternFill patternType="solid">
        <fgColor theme="8" tint="0.79998168889431442"/>
        <bgColor rgb="FFF6B3AE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0" borderId="0" xfId="0" applyFont="1"/>
    <xf numFmtId="0" fontId="1" fillId="5" borderId="0" xfId="0" applyFont="1" applyFill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6" borderId="0" xfId="0" applyFont="1" applyFill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1" fillId="7" borderId="0" xfId="0" applyFont="1" applyFill="1" applyAlignment="1">
      <alignment horizontal="center" vertical="top" wrapText="1"/>
    </xf>
    <xf numFmtId="0" fontId="4" fillId="0" borderId="5" xfId="0" quotePrefix="1" applyFont="1" applyBorder="1" applyAlignment="1">
      <alignment vertical="top" wrapText="1"/>
    </xf>
    <xf numFmtId="0" fontId="2" fillId="8" borderId="0" xfId="0" quotePrefix="1" applyFont="1" applyFill="1" applyAlignment="1">
      <alignment horizontal="left" vertical="top" wrapText="1"/>
    </xf>
    <xf numFmtId="0" fontId="5" fillId="9" borderId="0" xfId="0" applyFont="1" applyFill="1" applyAlignment="1">
      <alignment vertical="top"/>
    </xf>
    <xf numFmtId="164" fontId="4" fillId="7" borderId="0" xfId="0" applyNumberFormat="1" applyFont="1" applyFill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7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quotePrefix="1" applyFont="1" applyAlignment="1">
      <alignment horizontal="left" vertical="top" wrapText="1"/>
    </xf>
    <xf numFmtId="0" fontId="1" fillId="10" borderId="0" xfId="0" applyFont="1" applyFill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7" fillId="0" borderId="0" xfId="0" applyFont="1"/>
    <xf numFmtId="0" fontId="1" fillId="12" borderId="0" xfId="0" applyFont="1" applyFill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14" borderId="0" xfId="0" quotePrefix="1" applyFont="1" applyFill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8" xfId="0" quotePrefix="1" applyFont="1" applyBorder="1" applyAlignment="1">
      <alignment vertical="top" wrapText="1"/>
    </xf>
    <xf numFmtId="164" fontId="1" fillId="13" borderId="0" xfId="0" applyNumberFormat="1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11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2" fillId="0" borderId="0" xfId="0" quotePrefix="1" applyFont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12" borderId="10" xfId="0" quotePrefix="1" applyFont="1" applyFill="1" applyBorder="1" applyAlignment="1">
      <alignment horizontal="left" vertical="top" wrapText="1"/>
    </xf>
    <xf numFmtId="0" fontId="1" fillId="10" borderId="10" xfId="0" applyFont="1" applyFill="1" applyBorder="1" applyAlignment="1">
      <alignment horizontal="left" vertical="top"/>
    </xf>
    <xf numFmtId="0" fontId="4" fillId="0" borderId="11" xfId="0" quotePrefix="1" applyFont="1" applyBorder="1" applyAlignment="1">
      <alignment vertical="top" wrapText="1"/>
    </xf>
    <xf numFmtId="0" fontId="3" fillId="0" borderId="5" xfId="0" applyFont="1" applyBorder="1" applyAlignment="1">
      <alignment horizontal="left" vertical="top"/>
    </xf>
    <xf numFmtId="164" fontId="1" fillId="16" borderId="0" xfId="0" applyNumberFormat="1" applyFont="1" applyFill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4" fillId="0" borderId="5" xfId="0" quotePrefix="1" applyFont="1" applyBorder="1" applyAlignment="1">
      <alignment horizontal="left" vertical="top" wrapText="1"/>
    </xf>
    <xf numFmtId="0" fontId="1" fillId="0" borderId="0" xfId="0" quotePrefix="1" applyFont="1" applyAlignment="1">
      <alignment horizontal="left" vertical="top" wrapText="1"/>
    </xf>
    <xf numFmtId="0" fontId="11" fillId="0" borderId="10" xfId="0" applyFont="1" applyBorder="1" applyAlignment="1">
      <alignment horizontal="left" vertical="top"/>
    </xf>
    <xf numFmtId="0" fontId="1" fillId="6" borderId="0" xfId="0" applyFont="1" applyFill="1" applyAlignment="1">
      <alignment horizontal="left" vertical="top" wrapText="1"/>
    </xf>
    <xf numFmtId="0" fontId="1" fillId="17" borderId="0" xfId="0" applyFont="1" applyFill="1" applyAlignment="1">
      <alignment horizontal="left" vertical="top" wrapText="1"/>
    </xf>
    <xf numFmtId="164" fontId="4" fillId="16" borderId="0" xfId="0" applyNumberFormat="1" applyFont="1" applyFill="1" applyAlignment="1">
      <alignment vertical="top" wrapText="1"/>
    </xf>
    <xf numFmtId="0" fontId="3" fillId="0" borderId="7" xfId="0" applyFont="1" applyBorder="1" applyAlignment="1">
      <alignment vertical="top"/>
    </xf>
    <xf numFmtId="0" fontId="4" fillId="0" borderId="8" xfId="0" applyFont="1" applyBorder="1" applyAlignment="1">
      <alignment vertical="top" wrapText="1"/>
    </xf>
    <xf numFmtId="0" fontId="1" fillId="0" borderId="0" xfId="0" quotePrefix="1" applyFont="1" applyAlignment="1">
      <alignment horizontal="left" vertical="top"/>
    </xf>
    <xf numFmtId="49" fontId="1" fillId="18" borderId="0" xfId="0" applyNumberFormat="1" applyFont="1" applyFill="1" applyAlignment="1">
      <alignment horizontal="center" vertical="top" wrapText="1"/>
    </xf>
    <xf numFmtId="0" fontId="1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" fillId="12" borderId="0" xfId="0" quotePrefix="1" applyFont="1" applyFill="1" applyAlignment="1">
      <alignment horizontal="left" vertical="top" wrapText="1"/>
    </xf>
    <xf numFmtId="0" fontId="1" fillId="19" borderId="10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14" borderId="7" xfId="0" quotePrefix="1" applyFont="1" applyFill="1" applyBorder="1" applyAlignment="1">
      <alignment horizontal="left" vertical="top" wrapText="1"/>
    </xf>
    <xf numFmtId="0" fontId="4" fillId="0" borderId="0" xfId="0" quotePrefix="1" applyFont="1" applyAlignment="1">
      <alignment horizontal="left" vertical="top" wrapText="1"/>
    </xf>
    <xf numFmtId="0" fontId="1" fillId="11" borderId="9" xfId="0" applyFont="1" applyFill="1" applyBorder="1" applyAlignment="1">
      <alignment horizontal="left" vertical="top" wrapText="1"/>
    </xf>
    <xf numFmtId="0" fontId="4" fillId="11" borderId="10" xfId="0" applyFont="1" applyFill="1" applyBorder="1" applyAlignment="1">
      <alignment horizontal="left" vertical="top" wrapText="1"/>
    </xf>
    <xf numFmtId="164" fontId="4" fillId="11" borderId="10" xfId="0" applyNumberFormat="1" applyFont="1" applyFill="1" applyBorder="1" applyAlignment="1">
      <alignment horizontal="left" vertical="top" wrapText="1"/>
    </xf>
    <xf numFmtId="0" fontId="1" fillId="11" borderId="10" xfId="0" applyFont="1" applyFill="1" applyBorder="1" applyAlignment="1">
      <alignment horizontal="left" vertical="top"/>
    </xf>
    <xf numFmtId="0" fontId="4" fillId="11" borderId="11" xfId="0" applyFont="1" applyFill="1" applyBorder="1" applyAlignment="1">
      <alignment horizontal="left" vertical="top"/>
    </xf>
    <xf numFmtId="164" fontId="1" fillId="20" borderId="0" xfId="0" applyNumberFormat="1" applyFont="1" applyFill="1" applyAlignment="1">
      <alignment horizontal="center" vertical="top" wrapText="1"/>
    </xf>
    <xf numFmtId="0" fontId="11" fillId="0" borderId="7" xfId="0" applyFont="1" applyBorder="1" applyAlignment="1">
      <alignment horizontal="left" vertical="top"/>
    </xf>
    <xf numFmtId="0" fontId="1" fillId="10" borderId="0" xfId="0" applyFont="1" applyFill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" fillId="10" borderId="10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21" borderId="0" xfId="0" applyFont="1" applyFill="1"/>
    <xf numFmtId="0" fontId="1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3" xfId="0" applyFont="1" applyBorder="1" applyAlignment="1">
      <alignment vertical="top" wrapText="1"/>
    </xf>
    <xf numFmtId="0" fontId="4" fillId="0" borderId="10" xfId="0" quotePrefix="1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0" xfId="0" quotePrefix="1" applyFont="1" applyBorder="1" applyAlignment="1">
      <alignment horizontal="left" vertical="top"/>
    </xf>
    <xf numFmtId="0" fontId="1" fillId="17" borderId="7" xfId="0" applyFont="1" applyFill="1" applyBorder="1" applyAlignment="1">
      <alignment horizontal="left" vertical="top" wrapText="1"/>
    </xf>
    <xf numFmtId="0" fontId="3" fillId="0" borderId="7" xfId="0" applyFont="1" applyBorder="1"/>
    <xf numFmtId="0" fontId="3" fillId="0" borderId="8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3" fillId="0" borderId="10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10" fillId="0" borderId="7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164" fontId="6" fillId="0" borderId="0" xfId="0" applyNumberFormat="1" applyFont="1" applyAlignment="1">
      <alignment horizontal="left" vertical="top" wrapText="1"/>
    </xf>
    <xf numFmtId="0" fontId="1" fillId="12" borderId="7" xfId="0" quotePrefix="1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4" fillId="6" borderId="10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13" fillId="21" borderId="0" xfId="0" applyFont="1" applyFill="1"/>
    <xf numFmtId="0" fontId="6" fillId="4" borderId="4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164" fontId="6" fillId="4" borderId="0" xfId="0" applyNumberFormat="1" applyFont="1" applyFill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15" fillId="4" borderId="0" xfId="0" applyFont="1" applyFill="1" applyAlignment="1">
      <alignment horizontal="left" vertical="top" wrapText="1"/>
    </xf>
    <xf numFmtId="0" fontId="6" fillId="4" borderId="7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left" vertical="top"/>
    </xf>
    <xf numFmtId="0" fontId="6" fillId="4" borderId="0" xfId="0" quotePrefix="1" applyFont="1" applyFill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 wrapText="1"/>
    </xf>
    <xf numFmtId="164" fontId="6" fillId="4" borderId="10" xfId="0" applyNumberFormat="1" applyFont="1" applyFill="1" applyBorder="1" applyAlignment="1">
      <alignment horizontal="left" vertical="top" wrapText="1"/>
    </xf>
    <xf numFmtId="0" fontId="16" fillId="4" borderId="0" xfId="0" applyFont="1" applyFill="1" applyAlignment="1">
      <alignment vertical="top" wrapText="1"/>
    </xf>
    <xf numFmtId="0" fontId="6" fillId="4" borderId="0" xfId="0" applyFont="1" applyFill="1" applyAlignment="1">
      <alignment horizontal="left" vertical="top"/>
    </xf>
    <xf numFmtId="49" fontId="1" fillId="18" borderId="5" xfId="0" applyNumberFormat="1" applyFont="1" applyFill="1" applyBorder="1" applyAlignment="1">
      <alignment horizontal="center" vertical="top" wrapText="1"/>
    </xf>
    <xf numFmtId="49" fontId="1" fillId="18" borderId="0" xfId="0" applyNumberFormat="1" applyFont="1" applyFill="1" applyAlignment="1">
      <alignment horizontal="center" vertical="top" wrapText="1"/>
    </xf>
    <xf numFmtId="164" fontId="1" fillId="20" borderId="0" xfId="0" applyNumberFormat="1" applyFont="1" applyFill="1" applyAlignment="1">
      <alignment horizontal="center" vertical="top" wrapText="1"/>
    </xf>
    <xf numFmtId="164" fontId="1" fillId="16" borderId="5" xfId="0" applyNumberFormat="1" applyFont="1" applyFill="1" applyBorder="1" applyAlignment="1">
      <alignment horizontal="center" vertical="top" wrapText="1"/>
    </xf>
    <xf numFmtId="164" fontId="1" fillId="16" borderId="0" xfId="0" applyNumberFormat="1" applyFont="1" applyFill="1" applyAlignment="1">
      <alignment horizontal="center" vertical="top" wrapText="1"/>
    </xf>
    <xf numFmtId="164" fontId="1" fillId="15" borderId="5" xfId="0" applyNumberFormat="1" applyFont="1" applyFill="1" applyBorder="1" applyAlignment="1">
      <alignment horizontal="center" vertical="top" wrapText="1"/>
    </xf>
    <xf numFmtId="164" fontId="1" fillId="13" borderId="5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BF78-DF59-4924-AB76-E915421EA834}">
  <dimension ref="A1:K53"/>
  <sheetViews>
    <sheetView tabSelected="1" workbookViewId="0">
      <selection activeCell="E5" sqref="E5"/>
    </sheetView>
  </sheetViews>
  <sheetFormatPr baseColWidth="10" defaultRowHeight="14.4" x14ac:dyDescent="0.3"/>
  <cols>
    <col min="1" max="1" width="18" style="89" customWidth="1"/>
    <col min="2" max="2" width="3.33203125" style="9" bestFit="1" customWidth="1"/>
    <col min="3" max="3" width="4.6640625" style="9" customWidth="1"/>
    <col min="4" max="4" width="8.6640625" style="9" customWidth="1"/>
    <col min="5" max="5" width="52.33203125" style="9" customWidth="1"/>
    <col min="6" max="6" width="38" style="9" customWidth="1"/>
    <col min="7" max="7" width="23.109375" style="9" bestFit="1" customWidth="1"/>
    <col min="8" max="8" width="58.5546875" style="9" customWidth="1"/>
    <col min="9" max="9" width="45.44140625" style="9" customWidth="1"/>
    <col min="10" max="10" width="17.109375" style="9" bestFit="1" customWidth="1"/>
    <col min="11" max="11" width="11.44140625" style="9"/>
  </cols>
  <sheetData>
    <row r="1" spans="1:11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/>
      <c r="J1" s="8"/>
    </row>
    <row r="2" spans="1:11" ht="15" thickBot="1" x14ac:dyDescent="0.35">
      <c r="A2" s="10" t="s">
        <v>8</v>
      </c>
      <c r="B2" s="91">
        <v>1</v>
      </c>
      <c r="C2" s="92" t="s">
        <v>13</v>
      </c>
      <c r="D2" s="93">
        <v>45722</v>
      </c>
      <c r="E2" s="94" t="s">
        <v>10</v>
      </c>
      <c r="F2" s="95"/>
      <c r="G2" s="92"/>
      <c r="H2" s="96"/>
      <c r="I2" s="12"/>
      <c r="J2" s="16"/>
    </row>
    <row r="3" spans="1:11" ht="26.4" x14ac:dyDescent="0.3">
      <c r="A3" s="19" t="s">
        <v>12</v>
      </c>
      <c r="B3" s="11">
        <v>2</v>
      </c>
      <c r="C3" s="12" t="s">
        <v>9</v>
      </c>
      <c r="D3" s="13">
        <f>D2+5</f>
        <v>45727</v>
      </c>
      <c r="E3" s="14" t="s">
        <v>14</v>
      </c>
      <c r="F3" s="15"/>
      <c r="G3" s="12"/>
      <c r="H3" s="20" t="s">
        <v>15</v>
      </c>
      <c r="I3" s="21" t="s">
        <v>16</v>
      </c>
      <c r="J3" s="22" t="s">
        <v>17</v>
      </c>
    </row>
    <row r="4" spans="1:11" x14ac:dyDescent="0.3">
      <c r="A4" s="23"/>
      <c r="B4" s="11"/>
      <c r="C4" s="12" t="s">
        <v>11</v>
      </c>
      <c r="D4" s="13">
        <f>D3+1</f>
        <v>45728</v>
      </c>
      <c r="E4" s="17" t="s">
        <v>82</v>
      </c>
      <c r="F4" s="15"/>
      <c r="G4" s="12"/>
      <c r="H4" s="46"/>
      <c r="I4" s="98"/>
      <c r="J4" s="16"/>
    </row>
    <row r="5" spans="1:11" ht="15" thickBot="1" x14ac:dyDescent="0.35">
      <c r="A5" s="23"/>
      <c r="B5" s="51"/>
      <c r="C5" s="52" t="s">
        <v>13</v>
      </c>
      <c r="D5" s="53">
        <f>DATE(YEAR(D3),MONTH(D3),DAY(D3)+2)</f>
        <v>45729</v>
      </c>
      <c r="E5" s="54" t="s">
        <v>18</v>
      </c>
      <c r="F5" s="97"/>
      <c r="G5" s="75"/>
      <c r="H5" s="99" t="s">
        <v>19</v>
      </c>
      <c r="I5" s="98"/>
      <c r="J5" s="16"/>
    </row>
    <row r="6" spans="1:11" x14ac:dyDescent="0.3">
      <c r="A6" s="23"/>
      <c r="B6" s="24">
        <f>B3+1</f>
        <v>3</v>
      </c>
      <c r="C6" s="12" t="s">
        <v>9</v>
      </c>
      <c r="D6" s="26">
        <f>DATE(YEAR(D5),MONTH(D5),DAY(D5)+5)</f>
        <v>45734</v>
      </c>
      <c r="E6" s="14" t="s">
        <v>18</v>
      </c>
      <c r="F6" s="36" t="s">
        <v>22</v>
      </c>
      <c r="H6" s="37"/>
      <c r="I6" s="16"/>
      <c r="J6" s="16"/>
    </row>
    <row r="7" spans="1:11" x14ac:dyDescent="0.3">
      <c r="A7" s="23"/>
      <c r="B7" s="29"/>
      <c r="C7" s="12" t="s">
        <v>11</v>
      </c>
      <c r="D7" s="13">
        <f>D6+1</f>
        <v>45735</v>
      </c>
      <c r="E7" s="17" t="s">
        <v>20</v>
      </c>
      <c r="F7" s="30"/>
      <c r="G7" s="31" t="s">
        <v>21</v>
      </c>
      <c r="H7" s="32"/>
      <c r="I7" s="33"/>
      <c r="J7" s="34"/>
      <c r="K7" s="35"/>
    </row>
    <row r="8" spans="1:11" ht="27" thickBot="1" x14ac:dyDescent="0.35">
      <c r="A8" s="44" t="s">
        <v>24</v>
      </c>
      <c r="B8" s="108"/>
      <c r="C8" s="109" t="s">
        <v>13</v>
      </c>
      <c r="D8" s="110">
        <f>DATE(YEAR(D6),MONTH(D6),DAY(D6)+2)</f>
        <v>45736</v>
      </c>
      <c r="E8" s="14" t="s">
        <v>25</v>
      </c>
      <c r="F8" s="15"/>
      <c r="G8" s="40" t="s">
        <v>26</v>
      </c>
      <c r="H8" s="20" t="s">
        <v>27</v>
      </c>
      <c r="I8" s="16"/>
      <c r="J8" s="16"/>
    </row>
    <row r="9" spans="1:11" x14ac:dyDescent="0.3">
      <c r="A9" s="141"/>
      <c r="B9" s="11">
        <f>B6+1</f>
        <v>4</v>
      </c>
      <c r="C9" s="12" t="s">
        <v>9</v>
      </c>
      <c r="D9" s="13">
        <f>DATE(YEAR(D8),MONTH(D8),DAY(D8)+5)</f>
        <v>45741</v>
      </c>
      <c r="E9" s="27" t="s">
        <v>25</v>
      </c>
      <c r="F9" s="41"/>
      <c r="G9" s="42"/>
      <c r="H9" s="43" t="s">
        <v>27</v>
      </c>
      <c r="I9" s="16"/>
      <c r="J9" s="16"/>
    </row>
    <row r="10" spans="1:11" x14ac:dyDescent="0.3">
      <c r="A10" s="141"/>
      <c r="B10" s="11"/>
      <c r="C10" s="12" t="s">
        <v>11</v>
      </c>
      <c r="D10" s="13">
        <f>D9+1</f>
        <v>45742</v>
      </c>
      <c r="E10" s="38"/>
      <c r="F10" s="39"/>
      <c r="G10" s="39"/>
      <c r="H10" s="37"/>
      <c r="I10" s="21" t="s">
        <v>23</v>
      </c>
      <c r="J10" s="16"/>
    </row>
    <row r="11" spans="1:11" ht="15.75" customHeight="1" thickBot="1" x14ac:dyDescent="0.35">
      <c r="A11" s="140" t="s">
        <v>31</v>
      </c>
      <c r="B11" s="11"/>
      <c r="C11" s="12" t="s">
        <v>13</v>
      </c>
      <c r="D11" s="13">
        <f>DATE(YEAR(D9),MONTH(D9),DAY(D9)+2)</f>
        <v>45743</v>
      </c>
      <c r="E11" s="54" t="s">
        <v>76</v>
      </c>
      <c r="F11" s="75"/>
      <c r="G11" s="63"/>
      <c r="H11" s="57" t="s">
        <v>29</v>
      </c>
      <c r="I11" s="47"/>
      <c r="J11" s="22" t="s">
        <v>30</v>
      </c>
    </row>
    <row r="12" spans="1:11" ht="26.4" x14ac:dyDescent="0.3">
      <c r="A12" s="140"/>
      <c r="B12" s="24">
        <f>B9+1</f>
        <v>5</v>
      </c>
      <c r="C12" s="25" t="s">
        <v>9</v>
      </c>
      <c r="D12" s="26">
        <f>DATE(YEAR(D11),MONTH(D11),DAY(D11)+5)</f>
        <v>45748</v>
      </c>
      <c r="E12" s="14" t="s">
        <v>77</v>
      </c>
      <c r="F12" s="39"/>
      <c r="G12" s="39"/>
      <c r="H12" s="20" t="s">
        <v>35</v>
      </c>
      <c r="I12" s="21"/>
      <c r="J12" s="16"/>
    </row>
    <row r="13" spans="1:11" x14ac:dyDescent="0.3">
      <c r="A13" s="140"/>
      <c r="B13" s="11"/>
      <c r="C13" s="12" t="s">
        <v>11</v>
      </c>
      <c r="D13" s="13">
        <f>D12+1</f>
        <v>45749</v>
      </c>
      <c r="E13" s="17" t="s">
        <v>28</v>
      </c>
      <c r="F13" s="45"/>
      <c r="G13" s="46"/>
      <c r="H13" s="18"/>
      <c r="I13" s="47"/>
    </row>
    <row r="14" spans="1:11" ht="27" thickBot="1" x14ac:dyDescent="0.35">
      <c r="A14" s="140"/>
      <c r="B14" s="11"/>
      <c r="C14" s="12" t="s">
        <v>13</v>
      </c>
      <c r="D14" s="13">
        <f>DATE(YEAR(D12),MONTH(D12),DAY(D12)+2)</f>
        <v>45750</v>
      </c>
      <c r="E14" s="14" t="s">
        <v>32</v>
      </c>
      <c r="F14" s="45"/>
      <c r="G14" s="56" t="s">
        <v>34</v>
      </c>
      <c r="H14" s="57"/>
      <c r="I14" s="47"/>
      <c r="J14" s="16"/>
    </row>
    <row r="15" spans="1:11" ht="15" customHeight="1" x14ac:dyDescent="0.3">
      <c r="A15" s="138" t="s">
        <v>38</v>
      </c>
      <c r="B15" s="24">
        <f>B12+1</f>
        <v>6</v>
      </c>
      <c r="C15" s="25" t="s">
        <v>9</v>
      </c>
      <c r="D15" s="26">
        <f>DATE(YEAR(D14),MONTH(D14),DAY(D14)+5)</f>
        <v>45755</v>
      </c>
      <c r="E15" s="27" t="s">
        <v>39</v>
      </c>
      <c r="F15" s="116" t="s">
        <v>33</v>
      </c>
      <c r="H15" s="58"/>
      <c r="I15" s="21" t="s">
        <v>36</v>
      </c>
    </row>
    <row r="16" spans="1:11" x14ac:dyDescent="0.3">
      <c r="A16" s="139"/>
      <c r="B16" s="11"/>
      <c r="C16" s="12" t="s">
        <v>11</v>
      </c>
      <c r="D16" s="13">
        <f>D15+1</f>
        <v>45756</v>
      </c>
      <c r="E16" s="17" t="s">
        <v>37</v>
      </c>
      <c r="F16" s="14"/>
      <c r="G16" s="14"/>
      <c r="H16" s="18"/>
      <c r="I16" s="50"/>
      <c r="J16" s="16"/>
    </row>
    <row r="17" spans="1:11" ht="40.200000000000003" thickBot="1" x14ac:dyDescent="0.35">
      <c r="A17" s="139"/>
      <c r="B17" s="51"/>
      <c r="C17" s="52" t="s">
        <v>13</v>
      </c>
      <c r="D17" s="53">
        <f>DATE(YEAR(D15),MONTH(D15),DAY(D15)+2)</f>
        <v>45757</v>
      </c>
      <c r="E17" s="14" t="s">
        <v>73</v>
      </c>
      <c r="F17" s="16"/>
      <c r="G17" s="40" t="s">
        <v>41</v>
      </c>
      <c r="H17" s="61" t="s">
        <v>42</v>
      </c>
      <c r="I17" s="16"/>
      <c r="J17" s="16"/>
    </row>
    <row r="18" spans="1:11" ht="26.4" x14ac:dyDescent="0.3">
      <c r="A18" s="138"/>
      <c r="B18" s="11">
        <f>B15+1</f>
        <v>7</v>
      </c>
      <c r="C18" s="12" t="s">
        <v>9</v>
      </c>
      <c r="D18" s="13">
        <f>DATE(YEAR(D17),MONTH(D17),DAY(D17)+5)</f>
        <v>45762</v>
      </c>
      <c r="E18" s="119" t="s">
        <v>46</v>
      </c>
      <c r="F18" s="100" t="s">
        <v>69</v>
      </c>
      <c r="G18" s="101"/>
      <c r="H18" s="102"/>
      <c r="I18" s="16"/>
      <c r="J18" s="16"/>
    </row>
    <row r="19" spans="1:11" x14ac:dyDescent="0.3">
      <c r="A19" s="139"/>
      <c r="B19" s="11"/>
      <c r="C19" s="12" t="s">
        <v>11</v>
      </c>
      <c r="D19" s="13">
        <f>D18+1</f>
        <v>45763</v>
      </c>
      <c r="E19" s="17" t="s">
        <v>37</v>
      </c>
      <c r="F19" s="15"/>
      <c r="G19" s="15"/>
      <c r="H19" s="58"/>
      <c r="I19" s="16"/>
      <c r="J19" s="16"/>
    </row>
    <row r="20" spans="1:11" ht="15.75" customHeight="1" thickBot="1" x14ac:dyDescent="0.35">
      <c r="A20" s="139"/>
      <c r="B20" s="11"/>
      <c r="C20" s="12" t="s">
        <v>13</v>
      </c>
      <c r="D20" s="13">
        <f>DATE(YEAR(D18),MONTH(D18),DAY(D18)+2)</f>
        <v>45764</v>
      </c>
      <c r="E20" s="54" t="s">
        <v>63</v>
      </c>
      <c r="F20" s="15"/>
      <c r="H20" s="20" t="s">
        <v>40</v>
      </c>
      <c r="I20" s="33"/>
      <c r="J20" s="16"/>
    </row>
    <row r="21" spans="1:11" x14ac:dyDescent="0.3">
      <c r="A21" s="59"/>
      <c r="B21" s="111">
        <f>B18+1</f>
        <v>8</v>
      </c>
      <c r="C21" s="112" t="s">
        <v>9</v>
      </c>
      <c r="D21" s="113">
        <f>DATE(YEAR(D20),MONTH(D20),DAY(D20)+5)</f>
        <v>45769</v>
      </c>
      <c r="E21" s="14" t="s">
        <v>78</v>
      </c>
      <c r="F21" s="116" t="s">
        <v>44</v>
      </c>
      <c r="G21" s="84"/>
      <c r="H21" s="68"/>
      <c r="I21" s="33"/>
      <c r="J21" s="34"/>
      <c r="K21" s="35"/>
    </row>
    <row r="22" spans="1:11" x14ac:dyDescent="0.3">
      <c r="A22" s="59"/>
      <c r="B22" s="114"/>
      <c r="C22" s="33" t="s">
        <v>11</v>
      </c>
      <c r="D22" s="115">
        <f>D21+1</f>
        <v>45770</v>
      </c>
      <c r="E22" s="14"/>
      <c r="F22" s="14"/>
      <c r="G22" s="14"/>
      <c r="H22" s="117"/>
      <c r="I22" s="33"/>
      <c r="J22" s="34"/>
      <c r="K22" s="35"/>
    </row>
    <row r="23" spans="1:11" ht="15" thickBot="1" x14ac:dyDescent="0.35">
      <c r="A23" s="59"/>
      <c r="B23" s="108"/>
      <c r="C23" s="109" t="s">
        <v>13</v>
      </c>
      <c r="D23" s="110">
        <f>DATE(YEAR(D21),MONTH(D21),DAY(D21)+2)</f>
        <v>45771</v>
      </c>
      <c r="E23" s="14" t="s">
        <v>78</v>
      </c>
      <c r="F23" s="103"/>
      <c r="G23" s="39"/>
      <c r="H23" s="104"/>
      <c r="I23" s="60"/>
      <c r="J23" s="16"/>
    </row>
    <row r="24" spans="1:11" x14ac:dyDescent="0.3">
      <c r="A24" s="59"/>
      <c r="B24" s="122">
        <f>B21+1</f>
        <v>9</v>
      </c>
      <c r="C24" s="123" t="s">
        <v>9</v>
      </c>
      <c r="D24" s="124">
        <f>DATE(YEAR(D23),MONTH(D23),DAY(D23)+5)</f>
        <v>45776</v>
      </c>
      <c r="E24" s="125" t="s">
        <v>64</v>
      </c>
      <c r="F24" s="126"/>
      <c r="G24" s="127"/>
      <c r="H24" s="128"/>
      <c r="I24" s="12"/>
      <c r="J24" s="16"/>
    </row>
    <row r="25" spans="1:11" x14ac:dyDescent="0.3">
      <c r="A25" s="59"/>
      <c r="B25" s="122"/>
      <c r="C25" s="123" t="s">
        <v>11</v>
      </c>
      <c r="D25" s="124">
        <f>D24+1</f>
        <v>45777</v>
      </c>
      <c r="E25" s="123" t="s">
        <v>64</v>
      </c>
      <c r="F25" s="123"/>
      <c r="G25" s="129"/>
      <c r="H25" s="128"/>
      <c r="I25" s="12"/>
      <c r="J25" s="16"/>
    </row>
    <row r="26" spans="1:11" ht="15" thickBot="1" x14ac:dyDescent="0.35">
      <c r="A26" s="59"/>
      <c r="B26" s="130"/>
      <c r="C26" s="131" t="s">
        <v>13</v>
      </c>
      <c r="D26" s="132">
        <f>DATE(YEAR(D24),MONTH(D24),DAY(D24)+2)</f>
        <v>45778</v>
      </c>
      <c r="E26" s="133" t="s">
        <v>64</v>
      </c>
      <c r="F26" s="126"/>
      <c r="G26" s="134"/>
      <c r="H26" s="128"/>
      <c r="I26" s="12"/>
      <c r="J26" s="16"/>
    </row>
    <row r="27" spans="1:11" ht="26.4" x14ac:dyDescent="0.3">
      <c r="A27" s="59"/>
      <c r="B27" s="111">
        <f>B24+1</f>
        <v>10</v>
      </c>
      <c r="C27" s="112" t="s">
        <v>9</v>
      </c>
      <c r="D27" s="113">
        <f>DATE(YEAR(D26),MONTH(D26),DAY(D26)+5)</f>
        <v>45783</v>
      </c>
      <c r="E27" s="27" t="s">
        <v>43</v>
      </c>
      <c r="F27" s="67"/>
      <c r="G27" s="25"/>
      <c r="H27" s="68" t="s">
        <v>47</v>
      </c>
      <c r="I27" s="21" t="s">
        <v>48</v>
      </c>
      <c r="J27" s="16"/>
    </row>
    <row r="28" spans="1:11" x14ac:dyDescent="0.3">
      <c r="A28" s="66"/>
      <c r="B28" s="114"/>
      <c r="C28" s="33" t="s">
        <v>11</v>
      </c>
      <c r="D28" s="115">
        <f>D27+1</f>
        <v>45784</v>
      </c>
      <c r="E28" s="17" t="s">
        <v>70</v>
      </c>
      <c r="F28" s="45"/>
      <c r="G28" s="39"/>
      <c r="H28" s="18"/>
      <c r="I28" s="46"/>
      <c r="J28" s="16"/>
    </row>
    <row r="29" spans="1:11" ht="40.200000000000003" thickBot="1" x14ac:dyDescent="0.35">
      <c r="A29" s="70" t="s">
        <v>49</v>
      </c>
      <c r="B29" s="108"/>
      <c r="C29" s="109" t="s">
        <v>13</v>
      </c>
      <c r="D29" s="110">
        <f>DATE(YEAR(D27),MONTH(D27),DAY(D27)+2)</f>
        <v>45785</v>
      </c>
      <c r="E29" s="74" t="s">
        <v>81</v>
      </c>
      <c r="F29" s="16"/>
      <c r="G29" s="12"/>
      <c r="H29" s="18"/>
      <c r="I29" s="12"/>
      <c r="J29" s="16"/>
    </row>
    <row r="30" spans="1:11" ht="26.4" x14ac:dyDescent="0.3">
      <c r="A30" s="135"/>
      <c r="B30" s="24">
        <f>B27+1</f>
        <v>11</v>
      </c>
      <c r="C30" s="25" t="s">
        <v>9</v>
      </c>
      <c r="D30" s="26">
        <f>DATE(YEAR(D29),MONTH(D29),DAY(D29)+5)</f>
        <v>45790</v>
      </c>
      <c r="E30" s="27" t="s">
        <v>45</v>
      </c>
      <c r="F30" s="67"/>
      <c r="G30" s="27"/>
      <c r="H30" s="43" t="s">
        <v>50</v>
      </c>
      <c r="I30" s="50"/>
      <c r="J30" s="22" t="s">
        <v>51</v>
      </c>
    </row>
    <row r="31" spans="1:11" x14ac:dyDescent="0.3">
      <c r="A31" s="136"/>
      <c r="B31" s="11"/>
      <c r="C31" s="12" t="s">
        <v>11</v>
      </c>
      <c r="D31" s="13">
        <f>D30+1</f>
        <v>45791</v>
      </c>
      <c r="E31" s="17" t="s">
        <v>70</v>
      </c>
      <c r="F31" s="69"/>
      <c r="G31" s="12"/>
      <c r="H31" s="32"/>
      <c r="I31" s="46"/>
      <c r="J31" s="16"/>
    </row>
    <row r="32" spans="1:11" ht="15.75" customHeight="1" thickBot="1" x14ac:dyDescent="0.35">
      <c r="A32" s="136"/>
      <c r="B32" s="11"/>
      <c r="C32" s="12" t="s">
        <v>13</v>
      </c>
      <c r="D32" s="13">
        <f>DATE(YEAR(D30),MONTH(D30),DAY(D30)+2)</f>
        <v>45792</v>
      </c>
      <c r="E32" s="14" t="s">
        <v>45</v>
      </c>
      <c r="F32" s="105"/>
      <c r="G32" s="12"/>
      <c r="H32" s="18"/>
      <c r="I32" s="12"/>
      <c r="J32" s="16"/>
    </row>
    <row r="33" spans="1:10" x14ac:dyDescent="0.3">
      <c r="A33" s="70"/>
      <c r="B33" s="24">
        <f>B30+1</f>
        <v>12</v>
      </c>
      <c r="C33" s="25" t="s">
        <v>9</v>
      </c>
      <c r="D33" s="26">
        <f>DATE(YEAR(D32),MONTH(D32),DAY(D32)+5)</f>
        <v>45797</v>
      </c>
      <c r="E33" s="27" t="s">
        <v>74</v>
      </c>
      <c r="F33" s="73" t="s">
        <v>53</v>
      </c>
      <c r="G33" s="84"/>
      <c r="H33" s="106"/>
      <c r="I33" s="50"/>
      <c r="J33" s="16"/>
    </row>
    <row r="34" spans="1:10" x14ac:dyDescent="0.3">
      <c r="A34" s="70"/>
      <c r="B34" s="11"/>
      <c r="C34" s="12" t="s">
        <v>11</v>
      </c>
      <c r="D34" s="13">
        <f>D33+1</f>
        <v>45798</v>
      </c>
      <c r="E34" s="38" t="s">
        <v>65</v>
      </c>
      <c r="F34" s="16"/>
      <c r="G34" s="14"/>
      <c r="H34" s="18"/>
      <c r="I34" s="14"/>
      <c r="J34" s="16"/>
    </row>
    <row r="35" spans="1:10" ht="15" thickBot="1" x14ac:dyDescent="0.35">
      <c r="A35" s="70"/>
      <c r="B35" s="51"/>
      <c r="C35" s="52" t="s">
        <v>13</v>
      </c>
      <c r="D35" s="53">
        <f>DATE(YEAR(D33),MONTH(D33),DAY(D33)+2)</f>
        <v>45799</v>
      </c>
      <c r="E35" s="74" t="s">
        <v>71</v>
      </c>
      <c r="F35" s="75"/>
      <c r="G35" s="31" t="s">
        <v>55</v>
      </c>
      <c r="H35" s="72"/>
      <c r="I35" s="12"/>
      <c r="J35" s="16"/>
    </row>
    <row r="36" spans="1:10" ht="26.4" x14ac:dyDescent="0.3">
      <c r="A36" s="70"/>
      <c r="B36" s="11">
        <f>B33+1</f>
        <v>13</v>
      </c>
      <c r="C36" s="12" t="s">
        <v>9</v>
      </c>
      <c r="D36" s="13">
        <f>DATE(YEAR(D35),MONTH(D35),DAY(D35)+5)</f>
        <v>45804</v>
      </c>
      <c r="E36" s="27" t="s">
        <v>52</v>
      </c>
      <c r="F36" s="28"/>
      <c r="G36" s="76" t="s">
        <v>56</v>
      </c>
      <c r="H36" s="43" t="s">
        <v>57</v>
      </c>
      <c r="I36" s="16"/>
      <c r="J36" s="16"/>
    </row>
    <row r="37" spans="1:10" x14ac:dyDescent="0.3">
      <c r="A37" s="70"/>
      <c r="B37" s="11"/>
      <c r="C37" s="12" t="s">
        <v>11</v>
      </c>
      <c r="D37" s="13">
        <f>D36+1</f>
        <v>45805</v>
      </c>
      <c r="E37" s="38"/>
      <c r="F37" s="48"/>
      <c r="G37" s="48"/>
      <c r="H37" s="18"/>
      <c r="I37" s="21" t="s">
        <v>54</v>
      </c>
      <c r="J37" s="16"/>
    </row>
    <row r="38" spans="1:10" ht="66.599999999999994" thickBot="1" x14ac:dyDescent="0.35">
      <c r="A38" s="70"/>
      <c r="B38" s="51"/>
      <c r="C38" s="52" t="s">
        <v>13</v>
      </c>
      <c r="D38" s="53">
        <f>DATE(YEAR(D36),MONTH(D36),DAY(D36)+2)</f>
        <v>45806</v>
      </c>
      <c r="E38" s="74" t="s">
        <v>72</v>
      </c>
      <c r="F38" s="15"/>
      <c r="H38" s="20" t="s">
        <v>58</v>
      </c>
      <c r="I38" s="16"/>
      <c r="J38" s="16"/>
    </row>
    <row r="39" spans="1:10" ht="26.4" x14ac:dyDescent="0.3">
      <c r="A39" s="70"/>
      <c r="B39" s="24">
        <f>B36+1</f>
        <v>14</v>
      </c>
      <c r="C39" s="25" t="s">
        <v>9</v>
      </c>
      <c r="D39" s="26">
        <f>DATE(YEAR(D38),MONTH(D38),DAY(D38)+5)</f>
        <v>45811</v>
      </c>
      <c r="E39" s="27" t="s">
        <v>75</v>
      </c>
      <c r="F39" s="107"/>
      <c r="G39" s="27"/>
      <c r="H39" s="49"/>
      <c r="I39" s="77"/>
      <c r="J39" s="16"/>
    </row>
    <row r="40" spans="1:10" ht="39.6" x14ac:dyDescent="0.3">
      <c r="A40" s="83" t="s">
        <v>59</v>
      </c>
      <c r="B40" s="11"/>
      <c r="C40" s="12" t="s">
        <v>11</v>
      </c>
      <c r="D40" s="13">
        <f>D39+1</f>
        <v>45812</v>
      </c>
      <c r="E40" s="64" t="s">
        <v>60</v>
      </c>
      <c r="F40" s="14"/>
      <c r="H40" s="18"/>
      <c r="I40" s="77"/>
      <c r="J40" s="16"/>
    </row>
    <row r="41" spans="1:10" ht="27" thickBot="1" x14ac:dyDescent="0.35">
      <c r="A41" s="137"/>
      <c r="B41" s="78"/>
      <c r="C41" s="79" t="s">
        <v>13</v>
      </c>
      <c r="D41" s="80">
        <f>DATE(YEAR(D39),MONTH(D39),DAY(D39)+2)</f>
        <v>45813</v>
      </c>
      <c r="E41" s="118" t="s">
        <v>67</v>
      </c>
      <c r="F41" s="65" t="s">
        <v>79</v>
      </c>
      <c r="G41" s="81"/>
      <c r="H41" s="82"/>
      <c r="I41" s="12"/>
      <c r="J41" s="16"/>
    </row>
    <row r="42" spans="1:10" ht="26.4" x14ac:dyDescent="0.3">
      <c r="A42" s="137"/>
      <c r="B42" s="11">
        <f>B39+1</f>
        <v>15</v>
      </c>
      <c r="C42" s="12" t="s">
        <v>9</v>
      </c>
      <c r="D42" s="13">
        <f>DATE(YEAR(D41),MONTH(D41),DAY(D41)+5)</f>
        <v>45818</v>
      </c>
      <c r="E42" s="14" t="s">
        <v>61</v>
      </c>
      <c r="F42" s="27"/>
      <c r="G42" s="84"/>
      <c r="H42" s="49"/>
      <c r="I42" s="15"/>
      <c r="J42" s="16"/>
    </row>
    <row r="43" spans="1:10" ht="15" customHeight="1" x14ac:dyDescent="0.3">
      <c r="A43" s="83"/>
      <c r="B43" s="11"/>
      <c r="C43" s="12" t="s">
        <v>11</v>
      </c>
      <c r="D43" s="13">
        <f>D42+1</f>
        <v>45819</v>
      </c>
      <c r="E43" s="38"/>
      <c r="F43" s="62"/>
      <c r="G43" s="62"/>
      <c r="H43" s="18"/>
      <c r="I43" s="15"/>
      <c r="J43" s="16"/>
    </row>
    <row r="44" spans="1:10" ht="27" thickBot="1" x14ac:dyDescent="0.35">
      <c r="A44" s="83"/>
      <c r="B44" s="11"/>
      <c r="C44" s="12" t="s">
        <v>13</v>
      </c>
      <c r="D44" s="13">
        <f>DATE(YEAR(D42),MONTH(D42),DAY(D42)+2)</f>
        <v>45820</v>
      </c>
      <c r="E44" s="14" t="s">
        <v>61</v>
      </c>
      <c r="F44" s="55" t="s">
        <v>68</v>
      </c>
      <c r="G44" s="71"/>
      <c r="H44" s="72"/>
      <c r="I44" s="12"/>
      <c r="J44" s="16"/>
    </row>
    <row r="45" spans="1:10" x14ac:dyDescent="0.3">
      <c r="A45" s="83"/>
      <c r="B45" s="24">
        <f>B42+1</f>
        <v>16</v>
      </c>
      <c r="C45" s="25" t="s">
        <v>9</v>
      </c>
      <c r="D45" s="26">
        <f>DATE(YEAR(D44),MONTH(D44),DAY(D44)+5)</f>
        <v>45825</v>
      </c>
      <c r="E45" s="120" t="s">
        <v>62</v>
      </c>
      <c r="F45" s="27"/>
      <c r="G45" s="84"/>
      <c r="H45" s="49"/>
      <c r="I45" s="12"/>
      <c r="J45" s="16"/>
    </row>
    <row r="46" spans="1:10" x14ac:dyDescent="0.3">
      <c r="A46" s="83"/>
      <c r="B46" s="11"/>
      <c r="C46" s="12" t="s">
        <v>11</v>
      </c>
      <c r="D46" s="13">
        <f>D45+1</f>
        <v>45826</v>
      </c>
      <c r="E46" s="88"/>
      <c r="F46" s="14"/>
      <c r="G46" s="48"/>
      <c r="H46" s="58"/>
      <c r="I46" s="12"/>
      <c r="J46" s="16"/>
    </row>
    <row r="47" spans="1:10" ht="15" thickBot="1" x14ac:dyDescent="0.35">
      <c r="A47" s="83"/>
      <c r="B47" s="51"/>
      <c r="C47" s="52" t="s">
        <v>13</v>
      </c>
      <c r="D47" s="53">
        <f>DATE(YEAR(D45),MONTH(D45),DAY(D45)+2)</f>
        <v>45827</v>
      </c>
      <c r="E47" s="87" t="s">
        <v>62</v>
      </c>
      <c r="F47" s="71" t="s">
        <v>80</v>
      </c>
      <c r="G47" s="71"/>
      <c r="H47" s="72"/>
      <c r="I47" s="12"/>
      <c r="J47" s="16"/>
    </row>
    <row r="48" spans="1:10" x14ac:dyDescent="0.3">
      <c r="A48" s="83"/>
      <c r="B48" s="11">
        <f>B45+1</f>
        <v>17</v>
      </c>
      <c r="C48" s="12" t="s">
        <v>9</v>
      </c>
      <c r="D48" s="13">
        <f>DATE(YEAR(D47),MONTH(D47),DAY(D47)+5)</f>
        <v>45832</v>
      </c>
      <c r="E48" s="85" t="s">
        <v>62</v>
      </c>
      <c r="F48" s="16"/>
      <c r="G48" s="16"/>
      <c r="H48" s="18"/>
      <c r="I48" s="77"/>
      <c r="J48" s="16"/>
    </row>
    <row r="49" spans="1:10" x14ac:dyDescent="0.3">
      <c r="A49" s="83"/>
      <c r="B49" s="11"/>
      <c r="C49" s="12" t="s">
        <v>11</v>
      </c>
      <c r="D49" s="13">
        <f>D48+1</f>
        <v>45833</v>
      </c>
      <c r="E49" s="38"/>
      <c r="F49" s="14"/>
      <c r="G49" s="62"/>
      <c r="H49" s="18"/>
      <c r="I49" s="12"/>
      <c r="J49" s="16"/>
    </row>
    <row r="50" spans="1:10" ht="15" thickBot="1" x14ac:dyDescent="0.35">
      <c r="A50" s="83"/>
      <c r="B50" s="86"/>
      <c r="C50" s="52" t="s">
        <v>13</v>
      </c>
      <c r="D50" s="53">
        <f>DATE(YEAR(D48),MONTH(D48),DAY(D48)+2)</f>
        <v>45834</v>
      </c>
      <c r="E50" s="87" t="s">
        <v>62</v>
      </c>
      <c r="F50" s="14"/>
      <c r="G50" s="52"/>
      <c r="H50" s="72"/>
      <c r="I50" s="12"/>
      <c r="J50" s="16"/>
    </row>
    <row r="51" spans="1:10" x14ac:dyDescent="0.3">
      <c r="F51" s="101"/>
    </row>
    <row r="53" spans="1:10" x14ac:dyDescent="0.3">
      <c r="E53" s="121" t="s">
        <v>66</v>
      </c>
      <c r="F53" s="90"/>
    </row>
  </sheetData>
  <mergeCells count="7">
    <mergeCell ref="A30:A32"/>
    <mergeCell ref="A41:A42"/>
    <mergeCell ref="A15:A17"/>
    <mergeCell ref="A11:A12"/>
    <mergeCell ref="A9:A10"/>
    <mergeCell ref="A13:A14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De La Caridad Rodríguez Pérez</dc:creator>
  <cp:lastModifiedBy>Beatriz De La Caridad Rodríguez Pérez</cp:lastModifiedBy>
  <dcterms:created xsi:type="dcterms:W3CDTF">2025-03-02T20:08:58Z</dcterms:created>
  <dcterms:modified xsi:type="dcterms:W3CDTF">2025-03-09T20:10:29Z</dcterms:modified>
</cp:coreProperties>
</file>