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4"/>
    <sheet state="visible" name="Egresos" sheetId="2" r:id="rId5"/>
    <sheet state="visible" name="Flujos Totales" sheetId="3" r:id="rId6"/>
  </sheets>
  <definedNames/>
  <calcPr/>
  <extLst>
    <ext uri="GoogleSheetsCustomDataVersion2">
      <go:sheetsCustomData xmlns:go="http://customooxmlschemas.google.com/" r:id="rId7" roundtripDataChecksum="/yFFsS0SIYQtyklCdjStUDig1hsVRZS24JiAAsVVdmM="/>
    </ext>
  </extLst>
</workbook>
</file>

<file path=xl/sharedStrings.xml><?xml version="1.0" encoding="utf-8"?>
<sst xmlns="http://schemas.openxmlformats.org/spreadsheetml/2006/main" count="159" uniqueCount="66">
  <si>
    <t>INGRESOS PROYECTADOS</t>
  </si>
  <si>
    <t>Formula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</si>
  <si>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</si>
  <si>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</si>
  <si>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</si>
  <si>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</si>
  <si>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</si>
  <si>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</si>
  <si>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</si>
  <si>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</si>
  <si>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</si>
  <si>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</si>
  <si>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</si>
  <si>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</si>
  <si>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AÑO 1</t>
  </si>
  <si>
    <t>AÑO 2</t>
  </si>
  <si>
    <t>AÑO 3</t>
  </si>
  <si>
    <t>AÑO 4</t>
  </si>
  <si>
    <t>AÑO 5</t>
  </si>
  <si>
    <t>CANTIDAD VENDIDA</t>
  </si>
  <si>
    <t>Dispositivo tecnológico de sueño infantil</t>
  </si>
  <si>
    <t>f(x) = (0.5 * Numero_mes)*Cantidad_año</t>
  </si>
  <si>
    <t>Suscripción premium app</t>
  </si>
  <si>
    <t>f(x) = ((0.5 * Numero_mes)*Cantidad_año)+acumulado de venta hasta la fecha</t>
  </si>
  <si>
    <t>PRECIO DE VENTA</t>
  </si>
  <si>
    <t>Precio dispositivo</t>
  </si>
  <si>
    <t>f(x) = 38000</t>
  </si>
  <si>
    <t>Precio suscripción premium</t>
  </si>
  <si>
    <t>f(x) = 5000</t>
  </si>
  <si>
    <t>INGRESOS POR PRODUCTO/SERVICIO</t>
  </si>
  <si>
    <t>Ingresos dispositivo</t>
  </si>
  <si>
    <t>Ingresos suscripción premium</t>
  </si>
  <si>
    <t>INGRESOS TOTALES</t>
  </si>
  <si>
    <t>Suma de valor por cantidad respectivamente</t>
  </si>
  <si>
    <t>EGRESOS PROYECTADOS</t>
  </si>
  <si>
    <t>COSTOS DE PRODUCCIÓN</t>
  </si>
  <si>
    <t>Hardware: parlante, elemento de vibración, carcasa y controlador.</t>
  </si>
  <si>
    <t>f(x) = (Cantidad_vendida * 18.000)</t>
  </si>
  <si>
    <t>Producción y manufactura a escala.</t>
  </si>
  <si>
    <t>f(x) = (Cantidad_vendida * 4000)</t>
  </si>
  <si>
    <t>Desarrollo de software: app, algoritmo y plataforma de suscripción.</t>
  </si>
  <si>
    <t>Packaging</t>
  </si>
  <si>
    <t>f(x) = (Cantidad_vendida * 1000)</t>
  </si>
  <si>
    <t>GASTOS OPERATIVOS</t>
  </si>
  <si>
    <t>Marketing digital.</t>
  </si>
  <si>
    <t>f(x) = 0 (el primer año) y 100000*(año-1)</t>
  </si>
  <si>
    <t>Distribución del producto.</t>
  </si>
  <si>
    <t>f(x) = (Cantidad_vendida * 5000)</t>
  </si>
  <si>
    <t>Muestras para canal médico (pediatras/matronas).</t>
  </si>
  <si>
    <t>EGRESOS OPERACIONALES TOTALES</t>
  </si>
  <si>
    <t>Suma de costos + gastos</t>
  </si>
  <si>
    <t>RESUMEN</t>
  </si>
  <si>
    <t>AÑO 1</t>
  </si>
  <si>
    <t>UTILIDAD BRUTA</t>
  </si>
  <si>
    <t xml:space="preserve">Ingreso Totales - Costos de Producción </t>
  </si>
  <si>
    <t>UTILIDAD OPERACIONAL / EBITDA</t>
  </si>
  <si>
    <t>Ingreso Totales - Egreso Operacionales Totales</t>
  </si>
  <si>
    <t>Breakeven</t>
  </si>
  <si>
    <t>Payback</t>
  </si>
  <si>
    <t>PROYECTO: Dispositivo tecnológico de inducción del sueño infantil</t>
  </si>
  <si>
    <t>f(x) = (Cantidad_vendida * 18.000)*año</t>
  </si>
  <si>
    <t>Producción del prototipo y manufactura a escala.</t>
  </si>
  <si>
    <t>f(x) = (Cantidad_vendida * 4000)*año</t>
  </si>
  <si>
    <t>f(x) = (Cantidad_vendida * 1000)*año</t>
  </si>
  <si>
    <t>f(x) = 0 (el primer año) y 100*año</t>
  </si>
  <si>
    <t>f(x) = (Cantidad_vendida * 5000)*año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</si>
</sst>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#,##0;[Red]\(#,##0\);\-"/>
    <numFmt numFmtId="166" formatCode="_ &quot;$&quot;* #,##0_ ;_ &quot;$&quot;* \-#,##0_ ;_ &quot;$&quot;* &quot;-&quot;_ ;_ @_ "/>
    <numFmt numFmtId="167" formatCode="_ * #,##0_ ;_ * \-#,##0_ ;_ * &quot;-&quot;_ ;_ @_ "/>
  </numFmts>
  <fonts count="22">
    <font>
      <sz val="11.0"/>
      <color theme="1"/>
      <name val="Arial"/>
      <scheme val="minor"/>
    </font>
    <font>
      <sz val="12.0"/>
      <color rgb="FF000000"/>
      <name val="Roboto Mono"/>
    </font>
    <font>
      <b/>
      <sz val="12.0"/>
      <color rgb="FFFFFFFF"/>
      <name val="Calibri"/>
    </font>
    <font>
      <b/>
      <sz val="12.0"/>
      <color rgb="FFFFFFFF"/>
      <name val="Roboto Mono"/>
    </font>
    <font>
      <color rgb="FFFFFFFF"/>
      <name val="Arial"/>
      <scheme val="minor"/>
    </font>
    <font>
      <b/>
      <sz val="12.0"/>
      <color theme="1"/>
      <name val="Calibri"/>
    </font>
    <font>
      <b/>
      <sz val="12.0"/>
      <color rgb="FF000000"/>
      <name val="Roboto Mono"/>
    </font>
    <font>
      <sz val="11.0"/>
      <color theme="1"/>
      <name val="Calibri"/>
    </font>
    <font>
      <sz val="12.0"/>
      <color rgb="FFD9D9D9"/>
      <name val="Roboto Mono"/>
    </font>
    <font>
      <sz val="12.0"/>
      <color rgb="FF666666"/>
      <name val="Roboto Mono"/>
    </font>
    <font>
      <b/>
      <sz val="12.0"/>
      <color theme="1"/>
      <name val="Roboto Mono"/>
    </font>
    <font>
      <b/>
      <sz val="12.0"/>
      <color theme="1"/>
      <name val="Arial"/>
    </font>
    <font>
      <b/>
      <color theme="1"/>
      <name val="Arial"/>
      <scheme val="minor"/>
    </font>
    <font>
      <b/>
      <sz val="10.0"/>
      <color rgb="FF000000"/>
      <name val="Calibri"/>
    </font>
    <font>
      <sz val="10.0"/>
      <color rgb="FF000000"/>
      <name val="Arial"/>
    </font>
    <font>
      <sz val="10.0"/>
      <color rgb="FF000000"/>
      <name val="Calibri"/>
    </font>
    <font>
      <sz val="10.0"/>
      <color rgb="FF0000FF"/>
      <name val="Calibri"/>
    </font>
    <font>
      <sz val="10.0"/>
      <color theme="1"/>
      <name val="Calibri"/>
    </font>
    <font>
      <color rgb="FF0000FF"/>
      <name val="Calibri"/>
    </font>
    <font>
      <sz val="12.0"/>
      <color theme="1"/>
      <name val="Calibri"/>
    </font>
    <font>
      <b/>
      <sz val="10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</fills>
  <borders count="2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top"/>
    </xf>
    <xf borderId="0" fillId="2" fontId="3" numFmtId="0" xfId="0" applyAlignment="1" applyFill="1" applyFont="1">
      <alignment horizontal="center" vertical="top"/>
    </xf>
    <xf borderId="0" fillId="2" fontId="3" numFmtId="0" xfId="0" applyAlignment="1" applyFont="1">
      <alignment horizontal="center" readingOrder="0" vertical="top"/>
    </xf>
    <xf borderId="0" fillId="2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3" fontId="6" numFmtId="0" xfId="0" applyFill="1" applyFont="1"/>
    <xf borderId="0" fillId="3" fontId="1" numFmtId="0" xfId="0" applyFont="1"/>
    <xf borderId="0" fillId="3" fontId="1" numFmtId="164" xfId="0" applyFont="1" applyNumberFormat="1"/>
    <xf borderId="0" fillId="0" fontId="7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4" xfId="0" applyFont="1" applyNumberFormat="1"/>
    <xf borderId="0" fillId="3" fontId="8" numFmtId="164" xfId="0" applyFont="1" applyNumberFormat="1"/>
    <xf borderId="0" fillId="3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6" numFmtId="0" xfId="0" applyFont="1"/>
    <xf borderId="0" fillId="0" fontId="9" numFmtId="0" xfId="0" applyAlignment="1" applyFont="1">
      <alignment readingOrder="0"/>
    </xf>
    <xf borderId="0" fillId="4" fontId="10" numFmtId="164" xfId="0" applyAlignment="1" applyFill="1" applyFont="1" applyNumberFormat="1">
      <alignment horizontal="center" vertical="bottom"/>
    </xf>
    <xf borderId="0" fillId="0" fontId="10" numFmtId="164" xfId="0" applyAlignment="1" applyFont="1" applyNumberFormat="1">
      <alignment horizontal="center" vertical="bottom"/>
    </xf>
    <xf borderId="0" fillId="4" fontId="6" numFmtId="164" xfId="0" applyAlignment="1" applyFont="1" applyNumberFormat="1">
      <alignment horizontal="center" readingOrder="0"/>
    </xf>
    <xf borderId="0" fillId="5" fontId="6" numFmtId="164" xfId="0" applyAlignment="1" applyFill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11" numFmtId="165" xfId="0" applyFont="1" applyNumberFormat="1"/>
    <xf borderId="0" fillId="0" fontId="12" numFmtId="0" xfId="0" applyAlignment="1" applyFont="1">
      <alignment readingOrder="0"/>
    </xf>
    <xf borderId="1" fillId="6" fontId="2" numFmtId="0" xfId="0" applyAlignment="1" applyBorder="1" applyFill="1" applyFont="1">
      <alignment horizontal="center" vertical="top"/>
    </xf>
    <xf borderId="2" fillId="6" fontId="2" numFmtId="0" xfId="0" applyAlignment="1" applyBorder="1" applyFont="1">
      <alignment horizontal="center" readingOrder="0" vertical="top"/>
    </xf>
    <xf borderId="3" fillId="6" fontId="2" numFmtId="0" xfId="0" applyAlignment="1" applyBorder="1" applyFont="1">
      <alignment horizontal="center"/>
    </xf>
    <xf borderId="4" fillId="6" fontId="2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4" fontId="13" numFmtId="166" xfId="0" applyBorder="1" applyFont="1" applyNumberFormat="1"/>
    <xf borderId="7" fillId="0" fontId="13" numFmtId="167" xfId="0" applyBorder="1" applyFont="1" applyNumberFormat="1"/>
    <xf borderId="8" fillId="0" fontId="13" numFmtId="167" xfId="0" applyBorder="1" applyFont="1" applyNumberFormat="1"/>
    <xf borderId="9" fillId="0" fontId="7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11" fillId="0" fontId="14" numFmtId="167" xfId="0" applyBorder="1" applyFont="1" applyNumberFormat="1"/>
    <xf borderId="11" fillId="4" fontId="15" numFmtId="166" xfId="0" applyBorder="1" applyFont="1" applyNumberFormat="1"/>
    <xf borderId="11" fillId="0" fontId="15" numFmtId="167" xfId="0" applyBorder="1" applyFont="1" applyNumberFormat="1"/>
    <xf borderId="11" fillId="0" fontId="15" numFmtId="167" xfId="0" applyAlignment="1" applyBorder="1" applyFont="1" applyNumberFormat="1">
      <alignment readingOrder="0"/>
    </xf>
    <xf borderId="11" fillId="0" fontId="15" numFmtId="166" xfId="0" applyBorder="1" applyFont="1" applyNumberFormat="1"/>
    <xf borderId="12" fillId="0" fontId="15" numFmtId="166" xfId="0" applyBorder="1" applyFont="1" applyNumberFormat="1"/>
    <xf borderId="13" fillId="0" fontId="5" numFmtId="0" xfId="0" applyBorder="1" applyFont="1"/>
    <xf borderId="14" fillId="0" fontId="5" numFmtId="0" xfId="0" applyBorder="1" applyFont="1"/>
    <xf borderId="15" fillId="4" fontId="13" numFmtId="166" xfId="0" applyBorder="1" applyFont="1" applyNumberFormat="1"/>
    <xf borderId="16" fillId="0" fontId="13" numFmtId="167" xfId="0" applyBorder="1" applyFont="1" applyNumberFormat="1"/>
    <xf borderId="17" fillId="0" fontId="13" numFmtId="167" xfId="0" applyBorder="1" applyFont="1" applyNumberFormat="1"/>
    <xf borderId="11" fillId="0" fontId="16" numFmtId="166" xfId="0" applyAlignment="1" applyBorder="1" applyFont="1" applyNumberFormat="1">
      <alignment readingOrder="0"/>
    </xf>
    <xf borderId="11" fillId="4" fontId="17" numFmtId="166" xfId="0" applyBorder="1" applyFont="1" applyNumberFormat="1"/>
    <xf borderId="11" fillId="0" fontId="18" numFmtId="166" xfId="0" applyAlignment="1" applyBorder="1" applyFont="1" applyNumberFormat="1">
      <alignment horizontal="right" readingOrder="0" vertical="bottom"/>
    </xf>
    <xf borderId="11" fillId="0" fontId="18" numFmtId="166" xfId="0" applyAlignment="1" applyBorder="1" applyFont="1" applyNumberFormat="1">
      <alignment horizontal="right" vertical="bottom"/>
    </xf>
    <xf borderId="1" fillId="0" fontId="5" numFmtId="0" xfId="0" applyBorder="1" applyFont="1"/>
    <xf borderId="2" fillId="0" fontId="5" numFmtId="0" xfId="0" applyBorder="1" applyFont="1"/>
    <xf borderId="3" fillId="4" fontId="13" numFmtId="166" xfId="0" applyBorder="1" applyFont="1" applyNumberFormat="1"/>
    <xf borderId="18" fillId="6" fontId="2" numFmtId="0" xfId="0" applyAlignment="1" applyBorder="1" applyFont="1">
      <alignment horizontal="center" vertical="top"/>
    </xf>
    <xf borderId="19" fillId="6" fontId="2" numFmtId="0" xfId="0" applyAlignment="1" applyBorder="1" applyFont="1">
      <alignment horizontal="center"/>
    </xf>
    <xf borderId="20" fillId="6" fontId="2" numFmtId="0" xfId="0" applyAlignment="1" applyBorder="1" applyFont="1">
      <alignment horizontal="center"/>
    </xf>
    <xf borderId="5" fillId="0" fontId="19" numFmtId="0" xfId="0" applyBorder="1" applyFont="1"/>
    <xf borderId="7" fillId="4" fontId="17" numFmtId="166" xfId="0" applyBorder="1" applyFont="1" applyNumberFormat="1"/>
    <xf borderId="8" fillId="4" fontId="17" numFmtId="166" xfId="0" applyBorder="1" applyFont="1" applyNumberFormat="1"/>
    <xf borderId="21" fillId="0" fontId="19" numFmtId="0" xfId="0" applyBorder="1" applyFont="1"/>
    <xf borderId="22" fillId="4" fontId="17" numFmtId="166" xfId="0" applyBorder="1" applyFont="1" applyNumberFormat="1"/>
    <xf borderId="23" fillId="4" fontId="17" numFmtId="166" xfId="0" applyBorder="1" applyFont="1" applyNumberFormat="1"/>
    <xf borderId="3" fillId="4" fontId="20" numFmtId="166" xfId="0" applyBorder="1" applyFont="1" applyNumberFormat="1"/>
    <xf borderId="13" fillId="0" fontId="7" numFmtId="0" xfId="0" applyBorder="1" applyFont="1"/>
    <xf borderId="15" fillId="4" fontId="17" numFmtId="166" xfId="0" applyBorder="1" applyFont="1" applyNumberFormat="1"/>
    <xf borderId="24" fillId="4" fontId="17" numFmtId="166" xfId="0" applyBorder="1" applyFont="1" applyNumberForma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INGRESOS TOTALES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'Flujos Totales'!$N$5:$R$5</c:f>
              <c:numCache/>
            </c:numRef>
          </c:val>
          <c:smooth val="0"/>
        </c:ser>
        <c:ser>
          <c:idx val="1"/>
          <c:order val="1"/>
          <c:tx>
            <c:v>EGRESOS OPERACIONALES TOTALES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'Flujos Totales'!$N$9:$R$9</c:f>
              <c:numCache/>
            </c:numRef>
          </c:val>
          <c:smooth val="0"/>
        </c:ser>
        <c:ser>
          <c:idx val="2"/>
          <c:order val="2"/>
          <c:tx>
            <c:v>UTILIDAD OPERACIONAL / EBITDA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'Flujos Totales'!$N$10:$R$10</c:f>
              <c:numCache/>
            </c:numRef>
          </c:val>
          <c:smooth val="0"/>
        </c:ser>
        <c:axId val="915911179"/>
        <c:axId val="1233076905"/>
      </c:lineChart>
      <c:catAx>
        <c:axId val="915911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233076905"/>
      </c:catAx>
      <c:valAx>
        <c:axId val="1233076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91591117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'Flujos Totales'!$A$13:$M$13</c:f>
            </c:strRef>
          </c:cat>
          <c:val>
            <c:numRef>
              <c:f>'Flujos Totales'!$A$14:$M$14</c:f>
              <c:numCache/>
            </c:numRef>
          </c:val>
          <c:smooth val="0"/>
        </c:ser>
        <c:axId val="682569187"/>
        <c:axId val="1596554349"/>
      </c:lineChart>
      <c:catAx>
        <c:axId val="682569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596554349"/>
      </c:catAx>
      <c:valAx>
        <c:axId val="1596554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8256918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'Flujos Totales'!$L$17:$Q$17</c:f>
            </c:strRef>
          </c:cat>
          <c:val>
            <c:numRef>
              <c:f>'Flujos Totales'!$L$18:$Q$18</c:f>
              <c:numCache/>
            </c:numRef>
          </c:val>
          <c:smooth val="0"/>
        </c:ser>
        <c:axId val="1264133814"/>
        <c:axId val="683290442"/>
      </c:lineChart>
      <c:catAx>
        <c:axId val="1264133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83290442"/>
      </c:catAx>
      <c:valAx>
        <c:axId val="683290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264133814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76200</xdr:rowOff>
    </xdr:from>
    <xdr:ext cx="4991100" cy="3257550"/>
    <xdr:graphicFrame>
      <xdr:nvGraphicFramePr>
        <xdr:cNvPr id="104227459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419100</xdr:colOff>
      <xdr:row>18</xdr:row>
      <xdr:rowOff>76200</xdr:rowOff>
    </xdr:from>
    <xdr:ext cx="4572000" cy="2609850"/>
    <xdr:graphicFrame>
      <xdr:nvGraphicFramePr>
        <xdr:cNvPr id="198468441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38100</xdr:colOff>
      <xdr:row>18</xdr:row>
      <xdr:rowOff>76200</xdr:rowOff>
    </xdr:from>
    <xdr:ext cx="4572000" cy="2609850"/>
    <xdr:graphicFrame>
      <xdr:nvGraphicFramePr>
        <xdr:cNvPr id="41470165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.63"/>
    <col customWidth="1" min="2" max="2" width="83.75"/>
    <col customWidth="1" min="3" max="3" width="57.88"/>
    <col customWidth="1" min="4" max="20" width="18.88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5.75" customHeight="1">
      <c r="A2" s="2"/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6"/>
      <c r="V2" s="6"/>
      <c r="W2" s="6"/>
      <c r="X2" s="6"/>
      <c r="Y2" s="6"/>
      <c r="Z2" s="6"/>
      <c r="AA2" s="6"/>
      <c r="AB2" s="6"/>
    </row>
    <row r="3" ht="15.75" customHeight="1">
      <c r="A3" s="7"/>
      <c r="B3" s="8" t="s">
        <v>19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15.75" customHeight="1">
      <c r="A4" s="11"/>
      <c r="B4" s="12" t="s">
        <v>20</v>
      </c>
      <c r="C4" s="13" t="s">
        <v>21</v>
      </c>
      <c r="D4" s="14">
        <v>0.0</v>
      </c>
      <c r="E4" s="14">
        <v>1.0</v>
      </c>
      <c r="F4" s="14">
        <v>1.0</v>
      </c>
      <c r="G4" s="14">
        <v>2.0</v>
      </c>
      <c r="H4" s="14">
        <v>2.0</v>
      </c>
      <c r="I4" s="14">
        <v>3.0</v>
      </c>
      <c r="J4" s="14">
        <v>3.0</v>
      </c>
      <c r="K4" s="14">
        <v>4.0</v>
      </c>
      <c r="L4" s="14">
        <v>4.0</v>
      </c>
      <c r="M4" s="14">
        <v>5.0</v>
      </c>
      <c r="N4" s="14">
        <v>5.0</v>
      </c>
      <c r="O4" s="14">
        <v>6.0</v>
      </c>
      <c r="P4" s="15">
        <f t="shared" ref="P4:P5" si="2">SUM(D4:O4)</f>
        <v>36</v>
      </c>
      <c r="Q4" s="15">
        <f>P4*2</f>
        <v>72</v>
      </c>
      <c r="R4" s="15">
        <f>P4*3</f>
        <v>108</v>
      </c>
      <c r="S4" s="15">
        <f>P4*4</f>
        <v>144</v>
      </c>
      <c r="T4" s="15">
        <f>P4*5</f>
        <v>180</v>
      </c>
    </row>
    <row r="5" ht="15.75" customHeight="1">
      <c r="A5" s="11"/>
      <c r="B5" s="12" t="s">
        <v>22</v>
      </c>
      <c r="C5" s="13" t="s">
        <v>23</v>
      </c>
      <c r="D5" s="14">
        <f>sum(D4)</f>
        <v>0</v>
      </c>
      <c r="E5" s="14">
        <f>SUM(D4:E4)</f>
        <v>1</v>
      </c>
      <c r="F5" s="14">
        <f>SUM(D4:F4)</f>
        <v>2</v>
      </c>
      <c r="G5" s="14">
        <f>SUM(D4:G4)</f>
        <v>4</v>
      </c>
      <c r="H5" s="14">
        <f t="shared" ref="H5:O5" si="1">SUM(D4:H4)</f>
        <v>6</v>
      </c>
      <c r="I5" s="14">
        <f t="shared" si="1"/>
        <v>9</v>
      </c>
      <c r="J5" s="14">
        <f t="shared" si="1"/>
        <v>11</v>
      </c>
      <c r="K5" s="14">
        <f t="shared" si="1"/>
        <v>14</v>
      </c>
      <c r="L5" s="14">
        <f t="shared" si="1"/>
        <v>16</v>
      </c>
      <c r="M5" s="14">
        <f t="shared" si="1"/>
        <v>19</v>
      </c>
      <c r="N5" s="14">
        <f t="shared" si="1"/>
        <v>21</v>
      </c>
      <c r="O5" s="14">
        <f t="shared" si="1"/>
        <v>24</v>
      </c>
      <c r="P5" s="15">
        <f t="shared" si="2"/>
        <v>127</v>
      </c>
      <c r="Q5" s="15">
        <f t="shared" ref="Q5:T5" si="3">Q4*5</f>
        <v>360</v>
      </c>
      <c r="R5" s="15">
        <f t="shared" si="3"/>
        <v>540</v>
      </c>
      <c r="S5" s="15">
        <f t="shared" si="3"/>
        <v>720</v>
      </c>
      <c r="T5" s="15">
        <f t="shared" si="3"/>
        <v>900</v>
      </c>
    </row>
    <row r="6" ht="15.75" customHeight="1">
      <c r="A6" s="7"/>
      <c r="B6" s="8" t="s">
        <v>24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5.75" customHeight="1">
      <c r="A7" s="11"/>
      <c r="B7" s="12" t="s">
        <v>25</v>
      </c>
      <c r="C7" s="13" t="s">
        <v>26</v>
      </c>
      <c r="D7" s="16">
        <v>38000.0</v>
      </c>
      <c r="E7" s="16">
        <v>38000.0</v>
      </c>
      <c r="F7" s="16">
        <v>38000.0</v>
      </c>
      <c r="G7" s="16">
        <v>38000.0</v>
      </c>
      <c r="H7" s="16">
        <v>38000.0</v>
      </c>
      <c r="I7" s="16">
        <v>38000.0</v>
      </c>
      <c r="J7" s="16">
        <v>38000.0</v>
      </c>
      <c r="K7" s="16">
        <v>38000.0</v>
      </c>
      <c r="L7" s="16">
        <v>38000.0</v>
      </c>
      <c r="M7" s="16">
        <v>38000.0</v>
      </c>
      <c r="N7" s="16">
        <v>38000.0</v>
      </c>
      <c r="O7" s="16">
        <v>38000.0</v>
      </c>
      <c r="P7" s="16">
        <f>SUM(D7:O7)</f>
        <v>456000</v>
      </c>
      <c r="Q7" s="16">
        <v>38000.0</v>
      </c>
      <c r="R7" s="16">
        <v>38000.0</v>
      </c>
      <c r="S7" s="16">
        <v>38000.0</v>
      </c>
      <c r="T7" s="16">
        <v>38000.0</v>
      </c>
    </row>
    <row r="8" ht="15.75" customHeight="1">
      <c r="A8" s="11"/>
      <c r="B8" s="12" t="s">
        <v>27</v>
      </c>
      <c r="C8" s="13" t="s">
        <v>28</v>
      </c>
      <c r="D8" s="16">
        <v>5000.0</v>
      </c>
      <c r="E8" s="16">
        <v>5000.0</v>
      </c>
      <c r="F8" s="16">
        <v>5000.0</v>
      </c>
      <c r="G8" s="16">
        <v>5000.0</v>
      </c>
      <c r="H8" s="16">
        <v>5000.0</v>
      </c>
      <c r="I8" s="16">
        <v>5000.0</v>
      </c>
      <c r="J8" s="16">
        <v>5000.0</v>
      </c>
      <c r="K8" s="16">
        <v>5000.0</v>
      </c>
      <c r="L8" s="16">
        <v>5000.0</v>
      </c>
      <c r="M8" s="16">
        <v>5000.0</v>
      </c>
      <c r="N8" s="16">
        <v>5000.0</v>
      </c>
      <c r="O8" s="16">
        <v>5000.0</v>
      </c>
      <c r="P8" s="16">
        <v>5000.0</v>
      </c>
      <c r="Q8" s="16">
        <v>5000.0</v>
      </c>
      <c r="R8" s="16">
        <v>5000.0</v>
      </c>
      <c r="S8" s="16">
        <v>5000.0</v>
      </c>
      <c r="T8" s="16">
        <v>5000.0</v>
      </c>
    </row>
    <row r="9" ht="15.75" customHeight="1">
      <c r="A9" s="7"/>
      <c r="B9" s="8" t="s">
        <v>29</v>
      </c>
      <c r="C9" s="9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0"/>
      <c r="Q9" s="10"/>
      <c r="R9" s="10"/>
      <c r="S9" s="10"/>
      <c r="T9" s="10"/>
    </row>
    <row r="10" ht="15.75" customHeight="1">
      <c r="A10" s="11"/>
      <c r="B10" s="12" t="s">
        <v>30</v>
      </c>
      <c r="C10" s="12"/>
      <c r="D10" s="16">
        <f t="shared" ref="D10:O10" si="4">D4*D7</f>
        <v>0</v>
      </c>
      <c r="E10" s="16">
        <f t="shared" si="4"/>
        <v>38000</v>
      </c>
      <c r="F10" s="16">
        <f t="shared" si="4"/>
        <v>38000</v>
      </c>
      <c r="G10" s="16">
        <f t="shared" si="4"/>
        <v>76000</v>
      </c>
      <c r="H10" s="16">
        <f t="shared" si="4"/>
        <v>76000</v>
      </c>
      <c r="I10" s="16">
        <f t="shared" si="4"/>
        <v>114000</v>
      </c>
      <c r="J10" s="16">
        <f t="shared" si="4"/>
        <v>114000</v>
      </c>
      <c r="K10" s="16">
        <f t="shared" si="4"/>
        <v>152000</v>
      </c>
      <c r="L10" s="16">
        <f t="shared" si="4"/>
        <v>152000</v>
      </c>
      <c r="M10" s="16">
        <f t="shared" si="4"/>
        <v>190000</v>
      </c>
      <c r="N10" s="16">
        <f t="shared" si="4"/>
        <v>190000</v>
      </c>
      <c r="O10" s="16">
        <f t="shared" si="4"/>
        <v>228000</v>
      </c>
      <c r="P10" s="16">
        <f t="shared" ref="P10:P11" si="7">SUM(D10:O10)</f>
        <v>1368000</v>
      </c>
      <c r="Q10" s="16">
        <f t="shared" ref="Q10:T10" si="5">Q4*Q7</f>
        <v>2736000</v>
      </c>
      <c r="R10" s="16">
        <f t="shared" si="5"/>
        <v>4104000</v>
      </c>
      <c r="S10" s="16">
        <f t="shared" si="5"/>
        <v>5472000</v>
      </c>
      <c r="T10" s="16">
        <f t="shared" si="5"/>
        <v>6840000</v>
      </c>
    </row>
    <row r="11" ht="15.75" customHeight="1">
      <c r="A11" s="11"/>
      <c r="B11" s="12" t="s">
        <v>31</v>
      </c>
      <c r="C11" s="12"/>
      <c r="D11" s="16">
        <f t="shared" ref="D11:O11" si="6">D5*D8</f>
        <v>0</v>
      </c>
      <c r="E11" s="16">
        <f t="shared" si="6"/>
        <v>5000</v>
      </c>
      <c r="F11" s="16">
        <f t="shared" si="6"/>
        <v>10000</v>
      </c>
      <c r="G11" s="16">
        <f t="shared" si="6"/>
        <v>20000</v>
      </c>
      <c r="H11" s="16">
        <f t="shared" si="6"/>
        <v>30000</v>
      </c>
      <c r="I11" s="16">
        <f t="shared" si="6"/>
        <v>45000</v>
      </c>
      <c r="J11" s="16">
        <f t="shared" si="6"/>
        <v>55000</v>
      </c>
      <c r="K11" s="16">
        <f t="shared" si="6"/>
        <v>70000</v>
      </c>
      <c r="L11" s="16">
        <f t="shared" si="6"/>
        <v>80000</v>
      </c>
      <c r="M11" s="16">
        <f t="shared" si="6"/>
        <v>95000</v>
      </c>
      <c r="N11" s="16">
        <f t="shared" si="6"/>
        <v>105000</v>
      </c>
      <c r="O11" s="16">
        <f t="shared" si="6"/>
        <v>120000</v>
      </c>
      <c r="P11" s="16">
        <f t="shared" si="7"/>
        <v>635000</v>
      </c>
      <c r="Q11" s="16">
        <f t="shared" ref="Q11:T11" si="8">Q5*Q8</f>
        <v>1800000</v>
      </c>
      <c r="R11" s="16">
        <f t="shared" si="8"/>
        <v>2700000</v>
      </c>
      <c r="S11" s="16">
        <f t="shared" si="8"/>
        <v>3600000</v>
      </c>
      <c r="T11" s="16">
        <f t="shared" si="8"/>
        <v>4500000</v>
      </c>
    </row>
    <row r="12" ht="15.75" customHeight="1">
      <c r="A12" s="7"/>
      <c r="B12" s="8" t="s">
        <v>32</v>
      </c>
      <c r="C12" s="18" t="s">
        <v>33</v>
      </c>
      <c r="D12" s="10">
        <f t="shared" ref="D12:T12" si="9">SUM(D10:D11)</f>
        <v>0</v>
      </c>
      <c r="E12" s="10">
        <f t="shared" si="9"/>
        <v>43000</v>
      </c>
      <c r="F12" s="10">
        <f t="shared" si="9"/>
        <v>48000</v>
      </c>
      <c r="G12" s="10">
        <f t="shared" si="9"/>
        <v>96000</v>
      </c>
      <c r="H12" s="10">
        <f t="shared" si="9"/>
        <v>106000</v>
      </c>
      <c r="I12" s="10">
        <f t="shared" si="9"/>
        <v>159000</v>
      </c>
      <c r="J12" s="10">
        <f t="shared" si="9"/>
        <v>169000</v>
      </c>
      <c r="K12" s="10">
        <f t="shared" si="9"/>
        <v>222000</v>
      </c>
      <c r="L12" s="10">
        <f t="shared" si="9"/>
        <v>232000</v>
      </c>
      <c r="M12" s="10">
        <f t="shared" si="9"/>
        <v>285000</v>
      </c>
      <c r="N12" s="10">
        <f t="shared" si="9"/>
        <v>295000</v>
      </c>
      <c r="O12" s="10">
        <f t="shared" si="9"/>
        <v>348000</v>
      </c>
      <c r="P12" s="10">
        <f t="shared" si="9"/>
        <v>2003000</v>
      </c>
      <c r="Q12" s="10">
        <f t="shared" si="9"/>
        <v>4536000</v>
      </c>
      <c r="R12" s="10">
        <f t="shared" si="9"/>
        <v>6804000</v>
      </c>
      <c r="S12" s="10">
        <f t="shared" si="9"/>
        <v>9072000</v>
      </c>
      <c r="T12" s="10">
        <f t="shared" si="9"/>
        <v>11340000</v>
      </c>
    </row>
    <row r="13" ht="15.7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5.75" customHeight="1">
      <c r="A14" s="6"/>
      <c r="B14" s="3" t="s">
        <v>34</v>
      </c>
      <c r="C14" s="4" t="s">
        <v>1</v>
      </c>
      <c r="D14" s="5" t="s">
        <v>2</v>
      </c>
      <c r="E14" s="5" t="s">
        <v>3</v>
      </c>
      <c r="F14" s="5" t="s">
        <v>4</v>
      </c>
      <c r="G14" s="5" t="s">
        <v>5</v>
      </c>
      <c r="H14" s="5" t="s">
        <v>6</v>
      </c>
      <c r="I14" s="5" t="s">
        <v>7</v>
      </c>
      <c r="J14" s="5" t="s">
        <v>8</v>
      </c>
      <c r="K14" s="5" t="s">
        <v>9</v>
      </c>
      <c r="L14" s="5" t="s">
        <v>10</v>
      </c>
      <c r="M14" s="5" t="s">
        <v>11</v>
      </c>
      <c r="N14" s="5" t="s">
        <v>12</v>
      </c>
      <c r="O14" s="5" t="s">
        <v>13</v>
      </c>
      <c r="P14" s="5" t="s">
        <v>14</v>
      </c>
      <c r="Q14" s="5" t="s">
        <v>15</v>
      </c>
      <c r="R14" s="5" t="s">
        <v>16</v>
      </c>
      <c r="S14" s="5" t="s">
        <v>17</v>
      </c>
      <c r="T14" s="5" t="s">
        <v>18</v>
      </c>
      <c r="U14" s="6"/>
      <c r="V14" s="6"/>
      <c r="W14" s="6"/>
      <c r="X14" s="6"/>
      <c r="Y14" s="6"/>
      <c r="Z14" s="6"/>
      <c r="AA14" s="6"/>
      <c r="AB14" s="6"/>
    </row>
    <row r="15" ht="15.75" customHeight="1">
      <c r="B15" s="8" t="s">
        <v>35</v>
      </c>
      <c r="C15" s="9"/>
      <c r="D15" s="10">
        <f t="shared" ref="D15:O15" si="10">SUM(D16:D19)</f>
        <v>50000</v>
      </c>
      <c r="E15" s="10">
        <f t="shared" si="10"/>
        <v>73000</v>
      </c>
      <c r="F15" s="10">
        <f t="shared" si="10"/>
        <v>73000</v>
      </c>
      <c r="G15" s="10">
        <f t="shared" si="10"/>
        <v>96000</v>
      </c>
      <c r="H15" s="10">
        <f t="shared" si="10"/>
        <v>96000</v>
      </c>
      <c r="I15" s="10">
        <f t="shared" si="10"/>
        <v>119000</v>
      </c>
      <c r="J15" s="10">
        <f t="shared" si="10"/>
        <v>119000</v>
      </c>
      <c r="K15" s="10">
        <f t="shared" si="10"/>
        <v>142000</v>
      </c>
      <c r="L15" s="10">
        <f t="shared" si="10"/>
        <v>142000</v>
      </c>
      <c r="M15" s="10">
        <f t="shared" si="10"/>
        <v>165000</v>
      </c>
      <c r="N15" s="10">
        <f t="shared" si="10"/>
        <v>165000</v>
      </c>
      <c r="O15" s="10">
        <f t="shared" si="10"/>
        <v>188000</v>
      </c>
      <c r="P15" s="10">
        <f>SUM(D15:O15)</f>
        <v>1428000</v>
      </c>
      <c r="Q15" s="10">
        <f t="shared" ref="Q15:T15" si="11">SUM(Q16:Q19)</f>
        <v>2256000</v>
      </c>
      <c r="R15" s="10">
        <f t="shared" si="11"/>
        <v>3084000</v>
      </c>
      <c r="S15" s="10">
        <f t="shared" si="11"/>
        <v>3912000</v>
      </c>
      <c r="T15" s="10">
        <f t="shared" si="11"/>
        <v>4740000</v>
      </c>
    </row>
    <row r="16" ht="15.75" customHeight="1">
      <c r="B16" s="13" t="s">
        <v>36</v>
      </c>
      <c r="C16" s="13" t="s">
        <v>37</v>
      </c>
      <c r="D16" s="16">
        <f t="shared" ref="D16:T16" si="12">D4*18000</f>
        <v>0</v>
      </c>
      <c r="E16" s="16">
        <f t="shared" si="12"/>
        <v>18000</v>
      </c>
      <c r="F16" s="16">
        <f t="shared" si="12"/>
        <v>18000</v>
      </c>
      <c r="G16" s="16">
        <f t="shared" si="12"/>
        <v>36000</v>
      </c>
      <c r="H16" s="16">
        <f t="shared" si="12"/>
        <v>36000</v>
      </c>
      <c r="I16" s="16">
        <f t="shared" si="12"/>
        <v>54000</v>
      </c>
      <c r="J16" s="16">
        <f t="shared" si="12"/>
        <v>54000</v>
      </c>
      <c r="K16" s="16">
        <f t="shared" si="12"/>
        <v>72000</v>
      </c>
      <c r="L16" s="16">
        <f t="shared" si="12"/>
        <v>72000</v>
      </c>
      <c r="M16" s="16">
        <f t="shared" si="12"/>
        <v>90000</v>
      </c>
      <c r="N16" s="16">
        <f t="shared" si="12"/>
        <v>90000</v>
      </c>
      <c r="O16" s="16">
        <f t="shared" si="12"/>
        <v>108000</v>
      </c>
      <c r="P16" s="16">
        <f t="shared" si="12"/>
        <v>648000</v>
      </c>
      <c r="Q16" s="16">
        <f t="shared" si="12"/>
        <v>1296000</v>
      </c>
      <c r="R16" s="16">
        <f t="shared" si="12"/>
        <v>1944000</v>
      </c>
      <c r="S16" s="16">
        <f t="shared" si="12"/>
        <v>2592000</v>
      </c>
      <c r="T16" s="16">
        <f t="shared" si="12"/>
        <v>3240000</v>
      </c>
    </row>
    <row r="17" ht="15.75" customHeight="1">
      <c r="B17" s="13" t="s">
        <v>38</v>
      </c>
      <c r="C17" s="13" t="s">
        <v>39</v>
      </c>
      <c r="D17" s="16">
        <f t="shared" ref="D17:T17" si="13">D4*4000</f>
        <v>0</v>
      </c>
      <c r="E17" s="16">
        <f t="shared" si="13"/>
        <v>4000</v>
      </c>
      <c r="F17" s="16">
        <f t="shared" si="13"/>
        <v>4000</v>
      </c>
      <c r="G17" s="16">
        <f t="shared" si="13"/>
        <v>8000</v>
      </c>
      <c r="H17" s="16">
        <f t="shared" si="13"/>
        <v>8000</v>
      </c>
      <c r="I17" s="16">
        <f t="shared" si="13"/>
        <v>12000</v>
      </c>
      <c r="J17" s="16">
        <f t="shared" si="13"/>
        <v>12000</v>
      </c>
      <c r="K17" s="16">
        <f t="shared" si="13"/>
        <v>16000</v>
      </c>
      <c r="L17" s="16">
        <f t="shared" si="13"/>
        <v>16000</v>
      </c>
      <c r="M17" s="16">
        <f t="shared" si="13"/>
        <v>20000</v>
      </c>
      <c r="N17" s="16">
        <f t="shared" si="13"/>
        <v>20000</v>
      </c>
      <c r="O17" s="16">
        <f t="shared" si="13"/>
        <v>24000</v>
      </c>
      <c r="P17" s="16">
        <f t="shared" si="13"/>
        <v>144000</v>
      </c>
      <c r="Q17" s="16">
        <f t="shared" si="13"/>
        <v>288000</v>
      </c>
      <c r="R17" s="16">
        <f t="shared" si="13"/>
        <v>432000</v>
      </c>
      <c r="S17" s="16">
        <f t="shared" si="13"/>
        <v>576000</v>
      </c>
      <c r="T17" s="16">
        <f t="shared" si="13"/>
        <v>720000</v>
      </c>
    </row>
    <row r="18" ht="15.75" customHeight="1">
      <c r="B18" s="13" t="s">
        <v>40</v>
      </c>
      <c r="C18" s="13"/>
      <c r="D18" s="19">
        <v>50000.0</v>
      </c>
      <c r="E18" s="19">
        <v>50000.0</v>
      </c>
      <c r="F18" s="19">
        <v>50000.0</v>
      </c>
      <c r="G18" s="19">
        <v>50000.0</v>
      </c>
      <c r="H18" s="19">
        <v>50000.0</v>
      </c>
      <c r="I18" s="19">
        <v>50000.0</v>
      </c>
      <c r="J18" s="19">
        <v>50000.0</v>
      </c>
      <c r="K18" s="19">
        <v>50000.0</v>
      </c>
      <c r="L18" s="19">
        <v>50000.0</v>
      </c>
      <c r="M18" s="19">
        <v>50000.0</v>
      </c>
      <c r="N18" s="19">
        <v>50000.0</v>
      </c>
      <c r="O18" s="19">
        <v>50000.0</v>
      </c>
      <c r="P18" s="16">
        <f t="shared" ref="P18:P21" si="15">SUM(D18:O18)</f>
        <v>600000</v>
      </c>
      <c r="Q18" s="16">
        <v>600000.0</v>
      </c>
      <c r="R18" s="16">
        <v>600000.0</v>
      </c>
      <c r="S18" s="16">
        <v>600000.0</v>
      </c>
      <c r="T18" s="16">
        <v>600000.0</v>
      </c>
    </row>
    <row r="19" ht="15.75" customHeight="1">
      <c r="B19" s="13" t="s">
        <v>41</v>
      </c>
      <c r="C19" s="13" t="s">
        <v>42</v>
      </c>
      <c r="D19" s="16">
        <f t="shared" ref="D19:O19" si="14">D4*1000</f>
        <v>0</v>
      </c>
      <c r="E19" s="16">
        <f t="shared" si="14"/>
        <v>1000</v>
      </c>
      <c r="F19" s="16">
        <f t="shared" si="14"/>
        <v>1000</v>
      </c>
      <c r="G19" s="16">
        <f t="shared" si="14"/>
        <v>2000</v>
      </c>
      <c r="H19" s="16">
        <f t="shared" si="14"/>
        <v>2000</v>
      </c>
      <c r="I19" s="16">
        <f t="shared" si="14"/>
        <v>3000</v>
      </c>
      <c r="J19" s="16">
        <f t="shared" si="14"/>
        <v>3000</v>
      </c>
      <c r="K19" s="16">
        <f t="shared" si="14"/>
        <v>4000</v>
      </c>
      <c r="L19" s="16">
        <f t="shared" si="14"/>
        <v>4000</v>
      </c>
      <c r="M19" s="16">
        <f t="shared" si="14"/>
        <v>5000</v>
      </c>
      <c r="N19" s="16">
        <f t="shared" si="14"/>
        <v>5000</v>
      </c>
      <c r="O19" s="16">
        <f t="shared" si="14"/>
        <v>6000</v>
      </c>
      <c r="P19" s="16">
        <f t="shared" si="15"/>
        <v>36000</v>
      </c>
      <c r="Q19" s="16">
        <f>P19*2</f>
        <v>72000</v>
      </c>
      <c r="R19" s="16">
        <f t="shared" ref="R19:T19" si="16">R4*1000</f>
        <v>108000</v>
      </c>
      <c r="S19" s="16">
        <f t="shared" si="16"/>
        <v>144000</v>
      </c>
      <c r="T19" s="16">
        <f t="shared" si="16"/>
        <v>180000</v>
      </c>
    </row>
    <row r="20" ht="15.75" customHeight="1">
      <c r="B20" s="8" t="s">
        <v>43</v>
      </c>
      <c r="C20" s="9"/>
      <c r="D20" s="10">
        <f t="shared" ref="D20:O20" si="17">SUM(D21:D23)</f>
        <v>0</v>
      </c>
      <c r="E20" s="10">
        <f t="shared" si="17"/>
        <v>5000</v>
      </c>
      <c r="F20" s="10">
        <f t="shared" si="17"/>
        <v>5000</v>
      </c>
      <c r="G20" s="10">
        <f t="shared" si="17"/>
        <v>10000</v>
      </c>
      <c r="H20" s="10">
        <f t="shared" si="17"/>
        <v>10000</v>
      </c>
      <c r="I20" s="10">
        <f t="shared" si="17"/>
        <v>15000</v>
      </c>
      <c r="J20" s="10">
        <f t="shared" si="17"/>
        <v>15000</v>
      </c>
      <c r="K20" s="10">
        <f t="shared" si="17"/>
        <v>20000</v>
      </c>
      <c r="L20" s="10">
        <f t="shared" si="17"/>
        <v>20000</v>
      </c>
      <c r="M20" s="10">
        <f t="shared" si="17"/>
        <v>25000</v>
      </c>
      <c r="N20" s="10">
        <f t="shared" si="17"/>
        <v>25000</v>
      </c>
      <c r="O20" s="10">
        <f t="shared" si="17"/>
        <v>30000</v>
      </c>
      <c r="P20" s="10">
        <f t="shared" si="15"/>
        <v>180000</v>
      </c>
      <c r="Q20" s="10">
        <f t="shared" ref="Q20:T20" si="18">SUM(Q21:Q23)</f>
        <v>560000</v>
      </c>
      <c r="R20" s="10">
        <f t="shared" si="18"/>
        <v>940000</v>
      </c>
      <c r="S20" s="10">
        <f t="shared" si="18"/>
        <v>1520000</v>
      </c>
      <c r="T20" s="10">
        <f t="shared" si="18"/>
        <v>2500000</v>
      </c>
    </row>
    <row r="21" ht="15.75" customHeight="1">
      <c r="B21" s="13" t="s">
        <v>44</v>
      </c>
      <c r="C21" s="13" t="s">
        <v>45</v>
      </c>
      <c r="D21" s="19">
        <v>0.0</v>
      </c>
      <c r="E21" s="19">
        <v>0.0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0.0</v>
      </c>
      <c r="O21" s="19">
        <v>0.0</v>
      </c>
      <c r="P21" s="16">
        <f t="shared" si="15"/>
        <v>0</v>
      </c>
      <c r="Q21" s="20">
        <v>100000.0</v>
      </c>
      <c r="R21" s="21">
        <f t="shared" ref="R21:T21" si="19">Q21*2</f>
        <v>200000</v>
      </c>
      <c r="S21" s="21">
        <f t="shared" si="19"/>
        <v>400000</v>
      </c>
      <c r="T21" s="21">
        <f t="shared" si="19"/>
        <v>800000</v>
      </c>
    </row>
    <row r="22" ht="15.75" customHeight="1">
      <c r="B22" s="13" t="s">
        <v>46</v>
      </c>
      <c r="C22" s="13" t="s">
        <v>47</v>
      </c>
      <c r="D22" s="16">
        <f t="shared" ref="D22:T22" si="20">D4*5000</f>
        <v>0</v>
      </c>
      <c r="E22" s="16">
        <f t="shared" si="20"/>
        <v>5000</v>
      </c>
      <c r="F22" s="16">
        <f t="shared" si="20"/>
        <v>5000</v>
      </c>
      <c r="G22" s="16">
        <f t="shared" si="20"/>
        <v>10000</v>
      </c>
      <c r="H22" s="16">
        <f t="shared" si="20"/>
        <v>10000</v>
      </c>
      <c r="I22" s="16">
        <f t="shared" si="20"/>
        <v>15000</v>
      </c>
      <c r="J22" s="16">
        <f t="shared" si="20"/>
        <v>15000</v>
      </c>
      <c r="K22" s="16">
        <f t="shared" si="20"/>
        <v>20000</v>
      </c>
      <c r="L22" s="16">
        <f t="shared" si="20"/>
        <v>20000</v>
      </c>
      <c r="M22" s="16">
        <f t="shared" si="20"/>
        <v>25000</v>
      </c>
      <c r="N22" s="16">
        <f t="shared" si="20"/>
        <v>25000</v>
      </c>
      <c r="O22" s="16">
        <f t="shared" si="20"/>
        <v>30000</v>
      </c>
      <c r="P22" s="16">
        <f t="shared" si="20"/>
        <v>180000</v>
      </c>
      <c r="Q22" s="16">
        <f t="shared" si="20"/>
        <v>360000</v>
      </c>
      <c r="R22" s="16">
        <f t="shared" si="20"/>
        <v>540000</v>
      </c>
      <c r="S22" s="16">
        <f t="shared" si="20"/>
        <v>720000</v>
      </c>
      <c r="T22" s="16">
        <f t="shared" si="20"/>
        <v>900000</v>
      </c>
    </row>
    <row r="23" ht="15.75" customHeight="1">
      <c r="B23" s="13" t="s">
        <v>48</v>
      </c>
      <c r="C23" s="13" t="s">
        <v>45</v>
      </c>
      <c r="D23" s="19">
        <v>0.0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6">
        <f>SUM(D23:O23)</f>
        <v>0</v>
      </c>
      <c r="Q23" s="20">
        <v>100000.0</v>
      </c>
      <c r="R23" s="21">
        <f t="shared" ref="R23:T23" si="21">Q23*2</f>
        <v>200000</v>
      </c>
      <c r="S23" s="21">
        <f t="shared" si="21"/>
        <v>400000</v>
      </c>
      <c r="T23" s="21">
        <f t="shared" si="21"/>
        <v>800000</v>
      </c>
    </row>
    <row r="24" ht="15.75" customHeight="1">
      <c r="B24" s="8" t="s">
        <v>49</v>
      </c>
      <c r="C24" s="18" t="s">
        <v>50</v>
      </c>
      <c r="D24" s="10">
        <f t="shared" ref="D24:T24" si="22">D15+D20</f>
        <v>50000</v>
      </c>
      <c r="E24" s="10">
        <f t="shared" si="22"/>
        <v>78000</v>
      </c>
      <c r="F24" s="10">
        <f t="shared" si="22"/>
        <v>78000</v>
      </c>
      <c r="G24" s="10">
        <f t="shared" si="22"/>
        <v>106000</v>
      </c>
      <c r="H24" s="10">
        <f t="shared" si="22"/>
        <v>106000</v>
      </c>
      <c r="I24" s="10">
        <f t="shared" si="22"/>
        <v>134000</v>
      </c>
      <c r="J24" s="10">
        <f t="shared" si="22"/>
        <v>134000</v>
      </c>
      <c r="K24" s="10">
        <f t="shared" si="22"/>
        <v>162000</v>
      </c>
      <c r="L24" s="10">
        <f t="shared" si="22"/>
        <v>162000</v>
      </c>
      <c r="M24" s="10">
        <f t="shared" si="22"/>
        <v>190000</v>
      </c>
      <c r="N24" s="10">
        <f t="shared" si="22"/>
        <v>190000</v>
      </c>
      <c r="O24" s="10">
        <f t="shared" si="22"/>
        <v>218000</v>
      </c>
      <c r="P24" s="10">
        <f t="shared" si="22"/>
        <v>1608000</v>
      </c>
      <c r="Q24" s="10">
        <f t="shared" si="22"/>
        <v>2816000</v>
      </c>
      <c r="R24" s="10">
        <f t="shared" si="22"/>
        <v>4024000</v>
      </c>
      <c r="S24" s="10">
        <f t="shared" si="22"/>
        <v>5432000</v>
      </c>
      <c r="T24" s="10">
        <f t="shared" si="22"/>
        <v>7240000</v>
      </c>
    </row>
    <row r="25" ht="15.7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6"/>
      <c r="B26" s="4" t="s">
        <v>51</v>
      </c>
      <c r="C26" s="4" t="s">
        <v>1</v>
      </c>
      <c r="D26" s="5" t="s">
        <v>2</v>
      </c>
      <c r="E26" s="5" t="s">
        <v>3</v>
      </c>
      <c r="F26" s="5" t="s">
        <v>4</v>
      </c>
      <c r="G26" s="5" t="s">
        <v>5</v>
      </c>
      <c r="H26" s="5" t="s">
        <v>6</v>
      </c>
      <c r="I26" s="5" t="s">
        <v>7</v>
      </c>
      <c r="J26" s="5" t="s">
        <v>8</v>
      </c>
      <c r="K26" s="5" t="s">
        <v>9</v>
      </c>
      <c r="L26" s="5" t="s">
        <v>10</v>
      </c>
      <c r="M26" s="5" t="s">
        <v>11</v>
      </c>
      <c r="N26" s="5" t="s">
        <v>12</v>
      </c>
      <c r="O26" s="5" t="s">
        <v>13</v>
      </c>
      <c r="P26" s="5" t="s">
        <v>52</v>
      </c>
      <c r="Q26" s="5" t="s">
        <v>15</v>
      </c>
      <c r="R26" s="5" t="s">
        <v>16</v>
      </c>
      <c r="S26" s="5" t="s">
        <v>17</v>
      </c>
      <c r="T26" s="5" t="s">
        <v>18</v>
      </c>
      <c r="U26" s="6"/>
      <c r="V26" s="6"/>
      <c r="W26" s="6"/>
      <c r="X26" s="6"/>
      <c r="Y26" s="6"/>
      <c r="Z26" s="6"/>
      <c r="AA26" s="6"/>
      <c r="AB26" s="6"/>
    </row>
    <row r="27" ht="15.75" customHeight="1">
      <c r="B27" s="22" t="s">
        <v>32</v>
      </c>
      <c r="C27" s="12"/>
      <c r="D27" s="16">
        <f t="shared" ref="D27:T27" si="23">D12</f>
        <v>0</v>
      </c>
      <c r="E27" s="16">
        <f t="shared" si="23"/>
        <v>43000</v>
      </c>
      <c r="F27" s="16">
        <f t="shared" si="23"/>
        <v>48000</v>
      </c>
      <c r="G27" s="16">
        <f t="shared" si="23"/>
        <v>96000</v>
      </c>
      <c r="H27" s="16">
        <f t="shared" si="23"/>
        <v>106000</v>
      </c>
      <c r="I27" s="16">
        <f t="shared" si="23"/>
        <v>159000</v>
      </c>
      <c r="J27" s="16">
        <f t="shared" si="23"/>
        <v>169000</v>
      </c>
      <c r="K27" s="16">
        <f t="shared" si="23"/>
        <v>222000</v>
      </c>
      <c r="L27" s="16">
        <f t="shared" si="23"/>
        <v>232000</v>
      </c>
      <c r="M27" s="16">
        <f t="shared" si="23"/>
        <v>285000</v>
      </c>
      <c r="N27" s="16">
        <f t="shared" si="23"/>
        <v>295000</v>
      </c>
      <c r="O27" s="16">
        <f t="shared" si="23"/>
        <v>348000</v>
      </c>
      <c r="P27" s="16">
        <f t="shared" si="23"/>
        <v>2003000</v>
      </c>
      <c r="Q27" s="16">
        <f t="shared" si="23"/>
        <v>4536000</v>
      </c>
      <c r="R27" s="16">
        <f t="shared" si="23"/>
        <v>6804000</v>
      </c>
      <c r="S27" s="16">
        <f t="shared" si="23"/>
        <v>9072000</v>
      </c>
      <c r="T27" s="16">
        <f t="shared" si="23"/>
        <v>11340000</v>
      </c>
    </row>
    <row r="28" ht="15.75" customHeight="1">
      <c r="B28" s="22" t="s">
        <v>35</v>
      </c>
      <c r="C28" s="13"/>
      <c r="D28" s="16">
        <f t="shared" ref="D28:T28" si="24">D15</f>
        <v>50000</v>
      </c>
      <c r="E28" s="16">
        <f t="shared" si="24"/>
        <v>73000</v>
      </c>
      <c r="F28" s="16">
        <f t="shared" si="24"/>
        <v>73000</v>
      </c>
      <c r="G28" s="16">
        <f t="shared" si="24"/>
        <v>96000</v>
      </c>
      <c r="H28" s="16">
        <f t="shared" si="24"/>
        <v>96000</v>
      </c>
      <c r="I28" s="16">
        <f t="shared" si="24"/>
        <v>119000</v>
      </c>
      <c r="J28" s="16">
        <f t="shared" si="24"/>
        <v>119000</v>
      </c>
      <c r="K28" s="16">
        <f t="shared" si="24"/>
        <v>142000</v>
      </c>
      <c r="L28" s="16">
        <f t="shared" si="24"/>
        <v>142000</v>
      </c>
      <c r="M28" s="16">
        <f t="shared" si="24"/>
        <v>165000</v>
      </c>
      <c r="N28" s="16">
        <f t="shared" si="24"/>
        <v>165000</v>
      </c>
      <c r="O28" s="16">
        <f t="shared" si="24"/>
        <v>188000</v>
      </c>
      <c r="P28" s="16">
        <f t="shared" si="24"/>
        <v>1428000</v>
      </c>
      <c r="Q28" s="16">
        <f t="shared" si="24"/>
        <v>2256000</v>
      </c>
      <c r="R28" s="16">
        <f t="shared" si="24"/>
        <v>3084000</v>
      </c>
      <c r="S28" s="16">
        <f t="shared" si="24"/>
        <v>3912000</v>
      </c>
      <c r="T28" s="16">
        <f t="shared" si="24"/>
        <v>4740000</v>
      </c>
    </row>
    <row r="29" ht="15.75" customHeight="1">
      <c r="B29" s="22" t="s">
        <v>53</v>
      </c>
      <c r="C29" s="13" t="s">
        <v>54</v>
      </c>
      <c r="D29" s="16">
        <f t="shared" ref="D29:T29" si="25">D27-D28</f>
        <v>-50000</v>
      </c>
      <c r="E29" s="16">
        <f t="shared" si="25"/>
        <v>-30000</v>
      </c>
      <c r="F29" s="16">
        <f t="shared" si="25"/>
        <v>-25000</v>
      </c>
      <c r="G29" s="16">
        <f t="shared" si="25"/>
        <v>0</v>
      </c>
      <c r="H29" s="16">
        <f t="shared" si="25"/>
        <v>10000</v>
      </c>
      <c r="I29" s="16">
        <f t="shared" si="25"/>
        <v>40000</v>
      </c>
      <c r="J29" s="16">
        <f t="shared" si="25"/>
        <v>50000</v>
      </c>
      <c r="K29" s="16">
        <f t="shared" si="25"/>
        <v>80000</v>
      </c>
      <c r="L29" s="16">
        <f t="shared" si="25"/>
        <v>90000</v>
      </c>
      <c r="M29" s="16">
        <f t="shared" si="25"/>
        <v>120000</v>
      </c>
      <c r="N29" s="16">
        <f t="shared" si="25"/>
        <v>130000</v>
      </c>
      <c r="O29" s="16">
        <f t="shared" si="25"/>
        <v>160000</v>
      </c>
      <c r="P29" s="16">
        <f t="shared" si="25"/>
        <v>575000</v>
      </c>
      <c r="Q29" s="16">
        <f t="shared" si="25"/>
        <v>2280000</v>
      </c>
      <c r="R29" s="16">
        <f t="shared" si="25"/>
        <v>3720000</v>
      </c>
      <c r="S29" s="16">
        <f t="shared" si="25"/>
        <v>5160000</v>
      </c>
      <c r="T29" s="16">
        <f t="shared" si="25"/>
        <v>6600000</v>
      </c>
    </row>
    <row r="30" ht="15.75" customHeight="1">
      <c r="B30" s="22" t="s">
        <v>43</v>
      </c>
      <c r="C30" s="13"/>
      <c r="D30" s="16">
        <f t="shared" ref="D30:T30" si="26">D20</f>
        <v>0</v>
      </c>
      <c r="E30" s="16">
        <f t="shared" si="26"/>
        <v>5000</v>
      </c>
      <c r="F30" s="16">
        <f t="shared" si="26"/>
        <v>5000</v>
      </c>
      <c r="G30" s="16">
        <f t="shared" si="26"/>
        <v>10000</v>
      </c>
      <c r="H30" s="16">
        <f t="shared" si="26"/>
        <v>10000</v>
      </c>
      <c r="I30" s="16">
        <f t="shared" si="26"/>
        <v>15000</v>
      </c>
      <c r="J30" s="16">
        <f t="shared" si="26"/>
        <v>15000</v>
      </c>
      <c r="K30" s="16">
        <f t="shared" si="26"/>
        <v>20000</v>
      </c>
      <c r="L30" s="16">
        <f t="shared" si="26"/>
        <v>20000</v>
      </c>
      <c r="M30" s="16">
        <f t="shared" si="26"/>
        <v>25000</v>
      </c>
      <c r="N30" s="16">
        <f t="shared" si="26"/>
        <v>25000</v>
      </c>
      <c r="O30" s="16">
        <f t="shared" si="26"/>
        <v>30000</v>
      </c>
      <c r="P30" s="16">
        <f t="shared" si="26"/>
        <v>180000</v>
      </c>
      <c r="Q30" s="16">
        <f t="shared" si="26"/>
        <v>560000</v>
      </c>
      <c r="R30" s="16">
        <f t="shared" si="26"/>
        <v>940000</v>
      </c>
      <c r="S30" s="16">
        <f t="shared" si="26"/>
        <v>1520000</v>
      </c>
      <c r="T30" s="16">
        <f t="shared" si="26"/>
        <v>2500000</v>
      </c>
    </row>
    <row r="31" ht="15.75" customHeight="1">
      <c r="B31" s="22" t="s">
        <v>49</v>
      </c>
      <c r="C31" s="13"/>
      <c r="D31" s="16">
        <f>D24</f>
        <v>50000</v>
      </c>
      <c r="E31" s="16">
        <f>D24</f>
        <v>50000</v>
      </c>
      <c r="F31" s="16">
        <f t="shared" ref="F31:T31" si="27">F28+F30</f>
        <v>78000</v>
      </c>
      <c r="G31" s="16">
        <f t="shared" si="27"/>
        <v>106000</v>
      </c>
      <c r="H31" s="16">
        <f t="shared" si="27"/>
        <v>106000</v>
      </c>
      <c r="I31" s="16">
        <f t="shared" si="27"/>
        <v>134000</v>
      </c>
      <c r="J31" s="16">
        <f t="shared" si="27"/>
        <v>134000</v>
      </c>
      <c r="K31" s="16">
        <f t="shared" si="27"/>
        <v>162000</v>
      </c>
      <c r="L31" s="16">
        <f t="shared" si="27"/>
        <v>162000</v>
      </c>
      <c r="M31" s="16">
        <f t="shared" si="27"/>
        <v>190000</v>
      </c>
      <c r="N31" s="16">
        <f t="shared" si="27"/>
        <v>190000</v>
      </c>
      <c r="O31" s="16">
        <f t="shared" si="27"/>
        <v>218000</v>
      </c>
      <c r="P31" s="16">
        <f t="shared" si="27"/>
        <v>1608000</v>
      </c>
      <c r="Q31" s="16">
        <f t="shared" si="27"/>
        <v>2816000</v>
      </c>
      <c r="R31" s="16">
        <f t="shared" si="27"/>
        <v>4024000</v>
      </c>
      <c r="S31" s="16">
        <f t="shared" si="27"/>
        <v>5432000</v>
      </c>
      <c r="T31" s="16">
        <f t="shared" si="27"/>
        <v>7240000</v>
      </c>
    </row>
    <row r="32" ht="15.75" customHeight="1">
      <c r="B32" s="22" t="s">
        <v>55</v>
      </c>
      <c r="C32" s="13" t="s">
        <v>56</v>
      </c>
      <c r="D32" s="16">
        <f t="shared" ref="D32:T32" si="28">D27-D31</f>
        <v>-50000</v>
      </c>
      <c r="E32" s="16">
        <f t="shared" si="28"/>
        <v>-7000</v>
      </c>
      <c r="F32" s="16">
        <f t="shared" si="28"/>
        <v>-30000</v>
      </c>
      <c r="G32" s="16">
        <f t="shared" si="28"/>
        <v>-10000</v>
      </c>
      <c r="H32" s="16">
        <f t="shared" si="28"/>
        <v>0</v>
      </c>
      <c r="I32" s="16">
        <f t="shared" si="28"/>
        <v>25000</v>
      </c>
      <c r="J32" s="16">
        <f t="shared" si="28"/>
        <v>35000</v>
      </c>
      <c r="K32" s="16">
        <f t="shared" si="28"/>
        <v>60000</v>
      </c>
      <c r="L32" s="16">
        <f t="shared" si="28"/>
        <v>70000</v>
      </c>
      <c r="M32" s="16">
        <f t="shared" si="28"/>
        <v>95000</v>
      </c>
      <c r="N32" s="16">
        <f t="shared" si="28"/>
        <v>105000</v>
      </c>
      <c r="O32" s="16">
        <f t="shared" si="28"/>
        <v>130000</v>
      </c>
      <c r="P32" s="16">
        <f t="shared" si="28"/>
        <v>395000</v>
      </c>
      <c r="Q32" s="16">
        <f t="shared" si="28"/>
        <v>1720000</v>
      </c>
      <c r="R32" s="16">
        <f t="shared" si="28"/>
        <v>2780000</v>
      </c>
      <c r="S32" s="16">
        <f t="shared" si="28"/>
        <v>3640000</v>
      </c>
      <c r="T32" s="16">
        <f t="shared" si="28"/>
        <v>4100000</v>
      </c>
    </row>
    <row r="33" ht="15.75" customHeight="1">
      <c r="B33" s="1"/>
      <c r="C33" s="23"/>
      <c r="D33" s="1"/>
      <c r="E33" s="1"/>
      <c r="F33" s="1"/>
      <c r="G33" s="1"/>
      <c r="H33" s="24" t="s">
        <v>57</v>
      </c>
      <c r="I33" s="25"/>
      <c r="J33" s="1"/>
      <c r="K33" s="26" t="s">
        <v>58</v>
      </c>
      <c r="L33" s="27"/>
      <c r="M33" s="28"/>
      <c r="N33" s="1"/>
      <c r="O33" s="1"/>
      <c r="P33" s="28"/>
      <c r="Q33" s="28"/>
      <c r="R33" s="1"/>
      <c r="S33" s="1"/>
      <c r="T33" s="1"/>
    </row>
    <row r="34" ht="12.0" customHeight="1">
      <c r="B34" s="1"/>
      <c r="C34" s="23"/>
      <c r="D34" s="1"/>
      <c r="E34" s="1"/>
      <c r="F34" s="1"/>
      <c r="G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2.0" customHeight="1">
      <c r="C35" s="23"/>
    </row>
    <row r="36" ht="12.0" customHeight="1">
      <c r="C36" s="12"/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printOptions/>
  <pageMargins bottom="0.75" footer="0.0" header="0.0" left="0.25" right="0.25" top="0.75"/>
  <pageSetup paperSize="3"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0.13"/>
    <col customWidth="1" min="2" max="2" width="33.5"/>
    <col customWidth="1" min="3" max="19" width="13.0"/>
  </cols>
  <sheetData>
    <row r="1" ht="13.5" customHeight="1">
      <c r="A1" s="7" t="s">
        <v>59</v>
      </c>
      <c r="B1" s="7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ht="13.5" customHeight="1">
      <c r="A2" s="30"/>
      <c r="B2" s="30"/>
    </row>
    <row r="3" ht="13.5" customHeight="1"/>
    <row r="4" ht="13.5" customHeight="1">
      <c r="A4" s="31" t="s">
        <v>34</v>
      </c>
      <c r="B4" s="32" t="s">
        <v>1</v>
      </c>
      <c r="C4" s="33" t="s">
        <v>2</v>
      </c>
      <c r="D4" s="33" t="s">
        <v>3</v>
      </c>
      <c r="E4" s="33" t="s">
        <v>4</v>
      </c>
      <c r="F4" s="33" t="s">
        <v>5</v>
      </c>
      <c r="G4" s="33" t="s">
        <v>6</v>
      </c>
      <c r="H4" s="33" t="s">
        <v>7</v>
      </c>
      <c r="I4" s="33" t="s">
        <v>8</v>
      </c>
      <c r="J4" s="33" t="s">
        <v>9</v>
      </c>
      <c r="K4" s="33" t="s">
        <v>10</v>
      </c>
      <c r="L4" s="33" t="s">
        <v>11</v>
      </c>
      <c r="M4" s="33" t="s">
        <v>12</v>
      </c>
      <c r="N4" s="33" t="s">
        <v>13</v>
      </c>
      <c r="O4" s="33" t="s">
        <v>14</v>
      </c>
      <c r="P4" s="33" t="s">
        <v>15</v>
      </c>
      <c r="Q4" s="33" t="s">
        <v>16</v>
      </c>
      <c r="R4" s="33" t="s">
        <v>17</v>
      </c>
      <c r="S4" s="34" t="s">
        <v>18</v>
      </c>
    </row>
    <row r="5" ht="13.5" customHeight="1">
      <c r="A5" s="35" t="s">
        <v>35</v>
      </c>
      <c r="B5" s="36"/>
      <c r="C5" s="37">
        <f t="shared" ref="C5:N5" si="1">SUM(C6:C9)</f>
        <v>50000</v>
      </c>
      <c r="D5" s="37">
        <f t="shared" si="1"/>
        <v>73000</v>
      </c>
      <c r="E5" s="37">
        <f t="shared" si="1"/>
        <v>73000</v>
      </c>
      <c r="F5" s="37">
        <f t="shared" si="1"/>
        <v>96000</v>
      </c>
      <c r="G5" s="37">
        <f t="shared" si="1"/>
        <v>96000</v>
      </c>
      <c r="H5" s="37">
        <f t="shared" si="1"/>
        <v>119000</v>
      </c>
      <c r="I5" s="37">
        <f t="shared" si="1"/>
        <v>119000</v>
      </c>
      <c r="J5" s="37">
        <f t="shared" si="1"/>
        <v>142000</v>
      </c>
      <c r="K5" s="37">
        <f t="shared" si="1"/>
        <v>142000</v>
      </c>
      <c r="L5" s="37">
        <f t="shared" si="1"/>
        <v>165000</v>
      </c>
      <c r="M5" s="37">
        <f t="shared" si="1"/>
        <v>165000</v>
      </c>
      <c r="N5" s="37">
        <f t="shared" si="1"/>
        <v>188000</v>
      </c>
      <c r="O5" s="37">
        <f t="shared" ref="O5:O13" si="3">SUM(C5:N5)</f>
        <v>1428000</v>
      </c>
      <c r="P5" s="38">
        <f t="shared" ref="P5:S5" si="2">SUM(P6:P9)</f>
        <v>2256000</v>
      </c>
      <c r="Q5" s="38">
        <f t="shared" si="2"/>
        <v>3912000</v>
      </c>
      <c r="R5" s="38">
        <f t="shared" si="2"/>
        <v>7224000</v>
      </c>
      <c r="S5" s="39">
        <f t="shared" si="2"/>
        <v>13848000</v>
      </c>
    </row>
    <row r="6" ht="13.5" customHeight="1">
      <c r="A6" s="40" t="s">
        <v>36</v>
      </c>
      <c r="B6" s="41" t="s">
        <v>60</v>
      </c>
      <c r="C6" s="42">
        <f>Ingresos!D4*18000</f>
        <v>0</v>
      </c>
      <c r="D6" s="42">
        <f>Ingresos!E4*18000</f>
        <v>18000</v>
      </c>
      <c r="E6" s="42">
        <f>Ingresos!F4*18000</f>
        <v>18000</v>
      </c>
      <c r="F6" s="42">
        <f>Ingresos!G4*18000</f>
        <v>36000</v>
      </c>
      <c r="G6" s="42">
        <f>Ingresos!H4*18000</f>
        <v>36000</v>
      </c>
      <c r="H6" s="42">
        <f>Ingresos!I4*18000</f>
        <v>54000</v>
      </c>
      <c r="I6" s="42">
        <f>Ingresos!J4*18000</f>
        <v>54000</v>
      </c>
      <c r="J6" s="42">
        <f>Ingresos!K4*18000</f>
        <v>72000</v>
      </c>
      <c r="K6" s="42">
        <f>Ingresos!L4*18000</f>
        <v>72000</v>
      </c>
      <c r="L6" s="42">
        <f>Ingresos!M4*18000</f>
        <v>90000</v>
      </c>
      <c r="M6" s="42">
        <f>Ingresos!N4*18000</f>
        <v>90000</v>
      </c>
      <c r="N6" s="42">
        <f>Ingresos!O4*18000</f>
        <v>108000</v>
      </c>
      <c r="O6" s="43">
        <f t="shared" si="3"/>
        <v>648000</v>
      </c>
      <c r="P6" s="44">
        <f t="shared" ref="P6:S6" si="4">O6*2</f>
        <v>1296000</v>
      </c>
      <c r="Q6" s="44">
        <f t="shared" si="4"/>
        <v>2592000</v>
      </c>
      <c r="R6" s="44">
        <f t="shared" si="4"/>
        <v>5184000</v>
      </c>
      <c r="S6" s="44">
        <f t="shared" si="4"/>
        <v>10368000</v>
      </c>
    </row>
    <row r="7" ht="13.5" customHeight="1">
      <c r="A7" s="40" t="s">
        <v>61</v>
      </c>
      <c r="B7" s="41" t="s">
        <v>62</v>
      </c>
      <c r="C7" s="42">
        <f>Ingresos!D4*4000</f>
        <v>0</v>
      </c>
      <c r="D7" s="42">
        <f>Ingresos!E4*4000</f>
        <v>4000</v>
      </c>
      <c r="E7" s="42">
        <f>Ingresos!F4*4000</f>
        <v>4000</v>
      </c>
      <c r="F7" s="42">
        <f>Ingresos!G4*4000</f>
        <v>8000</v>
      </c>
      <c r="G7" s="42">
        <f>Ingresos!H4*4000</f>
        <v>8000</v>
      </c>
      <c r="H7" s="42">
        <f>Ingresos!I4*4000</f>
        <v>12000</v>
      </c>
      <c r="I7" s="42">
        <f>Ingresos!J4*4000</f>
        <v>12000</v>
      </c>
      <c r="J7" s="42">
        <f>Ingresos!K4*4000</f>
        <v>16000</v>
      </c>
      <c r="K7" s="42">
        <f>Ingresos!L4*4000</f>
        <v>16000</v>
      </c>
      <c r="L7" s="42">
        <f>Ingresos!M4*4000</f>
        <v>20000</v>
      </c>
      <c r="M7" s="42">
        <f>Ingresos!N4*4000</f>
        <v>20000</v>
      </c>
      <c r="N7" s="42">
        <f>Ingresos!O4*4000</f>
        <v>24000</v>
      </c>
      <c r="O7" s="43">
        <f t="shared" si="3"/>
        <v>144000</v>
      </c>
      <c r="P7" s="44">
        <f t="shared" ref="P7:S7" si="5">O7*2</f>
        <v>288000</v>
      </c>
      <c r="Q7" s="44">
        <f t="shared" si="5"/>
        <v>576000</v>
      </c>
      <c r="R7" s="44">
        <f t="shared" si="5"/>
        <v>1152000</v>
      </c>
      <c r="S7" s="44">
        <f t="shared" si="5"/>
        <v>2304000</v>
      </c>
    </row>
    <row r="8" ht="13.5" customHeight="1">
      <c r="A8" s="40" t="s">
        <v>40</v>
      </c>
      <c r="B8" s="41"/>
      <c r="C8" s="45">
        <v>50000.0</v>
      </c>
      <c r="D8" s="45">
        <v>50000.0</v>
      </c>
      <c r="E8" s="45">
        <v>50000.0</v>
      </c>
      <c r="F8" s="45">
        <v>50000.0</v>
      </c>
      <c r="G8" s="45">
        <v>50000.0</v>
      </c>
      <c r="H8" s="45">
        <v>50000.0</v>
      </c>
      <c r="I8" s="45">
        <v>50000.0</v>
      </c>
      <c r="J8" s="45">
        <v>50000.0</v>
      </c>
      <c r="K8" s="45">
        <v>50000.0</v>
      </c>
      <c r="L8" s="45">
        <v>50000.0</v>
      </c>
      <c r="M8" s="45">
        <v>50000.0</v>
      </c>
      <c r="N8" s="45">
        <v>50000.0</v>
      </c>
      <c r="O8" s="43">
        <f t="shared" si="3"/>
        <v>600000</v>
      </c>
      <c r="P8" s="46">
        <v>600000.0</v>
      </c>
      <c r="Q8" s="46">
        <v>600000.0</v>
      </c>
      <c r="R8" s="46">
        <v>600000.0</v>
      </c>
      <c r="S8" s="47">
        <v>600000.0</v>
      </c>
    </row>
    <row r="9" ht="13.5" customHeight="1">
      <c r="A9" s="40" t="s">
        <v>41</v>
      </c>
      <c r="B9" s="41" t="s">
        <v>63</v>
      </c>
      <c r="C9" s="44">
        <f>Ingresos!D4*1000</f>
        <v>0</v>
      </c>
      <c r="D9" s="44">
        <f>Ingresos!E4*1000</f>
        <v>1000</v>
      </c>
      <c r="E9" s="44">
        <f>Ingresos!F4*1000</f>
        <v>1000</v>
      </c>
      <c r="F9" s="44">
        <f>Ingresos!G4*1000</f>
        <v>2000</v>
      </c>
      <c r="G9" s="44">
        <f>Ingresos!H4*1000</f>
        <v>2000</v>
      </c>
      <c r="H9" s="44">
        <f>Ingresos!I4*1000</f>
        <v>3000</v>
      </c>
      <c r="I9" s="44">
        <f>Ingresos!J4*1000</f>
        <v>3000</v>
      </c>
      <c r="J9" s="44">
        <f>Ingresos!K4*1000</f>
        <v>4000</v>
      </c>
      <c r="K9" s="44">
        <f>Ingresos!L4*1000</f>
        <v>4000</v>
      </c>
      <c r="L9" s="44">
        <f>Ingresos!M4*1000</f>
        <v>5000</v>
      </c>
      <c r="M9" s="44">
        <f>Ingresos!N4*1000</f>
        <v>5000</v>
      </c>
      <c r="N9" s="44">
        <f>Ingresos!O4*1000</f>
        <v>6000</v>
      </c>
      <c r="O9" s="43">
        <f t="shared" si="3"/>
        <v>36000</v>
      </c>
      <c r="P9" s="44">
        <f t="shared" ref="P9:S9" si="6">O9*2</f>
        <v>72000</v>
      </c>
      <c r="Q9" s="44">
        <f t="shared" si="6"/>
        <v>144000</v>
      </c>
      <c r="R9" s="44">
        <f t="shared" si="6"/>
        <v>288000</v>
      </c>
      <c r="S9" s="44">
        <f t="shared" si="6"/>
        <v>576000</v>
      </c>
    </row>
    <row r="10" ht="13.5" customHeight="1">
      <c r="A10" s="48" t="s">
        <v>43</v>
      </c>
      <c r="B10" s="49"/>
      <c r="C10" s="50">
        <f t="shared" ref="C10:D10" si="7">SUM(C11:C13)</f>
        <v>0</v>
      </c>
      <c r="D10" s="50">
        <f t="shared" si="7"/>
        <v>5000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>
        <f t="shared" si="3"/>
        <v>5000</v>
      </c>
      <c r="P10" s="51">
        <f t="shared" ref="P10:S10" si="8">SUM(P11:P13)</f>
        <v>560000</v>
      </c>
      <c r="Q10" s="51">
        <f t="shared" si="8"/>
        <v>1120000</v>
      </c>
      <c r="R10" s="51">
        <f t="shared" si="8"/>
        <v>2240000</v>
      </c>
      <c r="S10" s="52">
        <f t="shared" si="8"/>
        <v>4480000</v>
      </c>
    </row>
    <row r="11" ht="13.5" customHeight="1">
      <c r="A11" s="40" t="s">
        <v>44</v>
      </c>
      <c r="B11" s="41" t="s">
        <v>64</v>
      </c>
      <c r="C11" s="53">
        <v>0.0</v>
      </c>
      <c r="D11" s="53">
        <v>0.0</v>
      </c>
      <c r="E11" s="53">
        <v>0.0</v>
      </c>
      <c r="F11" s="53">
        <v>0.0</v>
      </c>
      <c r="G11" s="53">
        <v>0.0</v>
      </c>
      <c r="H11" s="53">
        <v>0.0</v>
      </c>
      <c r="I11" s="53">
        <v>0.0</v>
      </c>
      <c r="J11" s="53">
        <v>0.0</v>
      </c>
      <c r="K11" s="53">
        <v>0.0</v>
      </c>
      <c r="L11" s="53">
        <v>0.0</v>
      </c>
      <c r="M11" s="53">
        <v>0.0</v>
      </c>
      <c r="N11" s="53">
        <v>0.0</v>
      </c>
      <c r="O11" s="54">
        <f t="shared" si="3"/>
        <v>0</v>
      </c>
      <c r="P11" s="55">
        <v>100000.0</v>
      </c>
      <c r="Q11" s="56">
        <f t="shared" ref="Q11:S11" si="9">P11*2</f>
        <v>200000</v>
      </c>
      <c r="R11" s="56">
        <f t="shared" si="9"/>
        <v>400000</v>
      </c>
      <c r="S11" s="56">
        <f t="shared" si="9"/>
        <v>800000</v>
      </c>
    </row>
    <row r="12" ht="13.5" customHeight="1">
      <c r="A12" s="40" t="s">
        <v>46</v>
      </c>
      <c r="B12" s="41" t="s">
        <v>65</v>
      </c>
      <c r="C12" s="46">
        <f>Ingresos!D4*5000</f>
        <v>0</v>
      </c>
      <c r="D12" s="46">
        <f>Ingresos!E4*5000</f>
        <v>5000</v>
      </c>
      <c r="E12" s="46">
        <f>Ingresos!F4*5000</f>
        <v>5000</v>
      </c>
      <c r="F12" s="46">
        <f>Ingresos!G4*5000</f>
        <v>10000</v>
      </c>
      <c r="G12" s="46">
        <f>Ingresos!H4*5000</f>
        <v>10000</v>
      </c>
      <c r="H12" s="46">
        <f>Ingresos!I4*5000</f>
        <v>15000</v>
      </c>
      <c r="I12" s="46">
        <f>Ingresos!J4*5000</f>
        <v>15000</v>
      </c>
      <c r="J12" s="46">
        <f>Ingresos!K4*5000</f>
        <v>20000</v>
      </c>
      <c r="K12" s="46">
        <f>Ingresos!L4*5000</f>
        <v>20000</v>
      </c>
      <c r="L12" s="46">
        <f>Ingresos!M4*5000</f>
        <v>25000</v>
      </c>
      <c r="M12" s="46">
        <f>Ingresos!N4*5000</f>
        <v>25000</v>
      </c>
      <c r="N12" s="46">
        <f>Ingresos!O4*5000</f>
        <v>30000</v>
      </c>
      <c r="O12" s="43">
        <f t="shared" si="3"/>
        <v>180000</v>
      </c>
      <c r="P12" s="46">
        <f t="shared" ref="P12:S12" si="10">O12*2</f>
        <v>360000</v>
      </c>
      <c r="Q12" s="46">
        <f t="shared" si="10"/>
        <v>720000</v>
      </c>
      <c r="R12" s="46">
        <f t="shared" si="10"/>
        <v>1440000</v>
      </c>
      <c r="S12" s="46">
        <f t="shared" si="10"/>
        <v>2880000</v>
      </c>
    </row>
    <row r="13" ht="13.5" customHeight="1">
      <c r="A13" s="40" t="s">
        <v>48</v>
      </c>
      <c r="B13" s="41" t="s">
        <v>64</v>
      </c>
      <c r="C13" s="53">
        <v>0.0</v>
      </c>
      <c r="D13" s="53">
        <v>0.0</v>
      </c>
      <c r="E13" s="53">
        <v>0.0</v>
      </c>
      <c r="F13" s="53">
        <v>0.0</v>
      </c>
      <c r="G13" s="53">
        <v>0.0</v>
      </c>
      <c r="H13" s="53">
        <v>0.0</v>
      </c>
      <c r="I13" s="53">
        <v>0.0</v>
      </c>
      <c r="J13" s="53">
        <v>0.0</v>
      </c>
      <c r="K13" s="53">
        <v>0.0</v>
      </c>
      <c r="L13" s="53">
        <v>0.0</v>
      </c>
      <c r="M13" s="53">
        <v>0.0</v>
      </c>
      <c r="N13" s="53">
        <v>0.0</v>
      </c>
      <c r="O13" s="54">
        <f t="shared" si="3"/>
        <v>0</v>
      </c>
      <c r="P13" s="55">
        <v>100000.0</v>
      </c>
      <c r="Q13" s="56">
        <f t="shared" ref="Q13:S13" si="11">P13*2</f>
        <v>200000</v>
      </c>
      <c r="R13" s="56">
        <f t="shared" si="11"/>
        <v>400000</v>
      </c>
      <c r="S13" s="56">
        <f t="shared" si="11"/>
        <v>800000</v>
      </c>
    </row>
    <row r="14" ht="13.5" customHeight="1">
      <c r="A14" s="57" t="s">
        <v>49</v>
      </c>
      <c r="B14" s="58"/>
      <c r="C14" s="59">
        <f t="shared" ref="C14:S14" si="12">C5+C10</f>
        <v>50000</v>
      </c>
      <c r="D14" s="59">
        <f t="shared" si="12"/>
        <v>78000</v>
      </c>
      <c r="E14" s="59">
        <f t="shared" si="12"/>
        <v>73000</v>
      </c>
      <c r="F14" s="59">
        <f t="shared" si="12"/>
        <v>96000</v>
      </c>
      <c r="G14" s="59">
        <f t="shared" si="12"/>
        <v>96000</v>
      </c>
      <c r="H14" s="59">
        <f t="shared" si="12"/>
        <v>119000</v>
      </c>
      <c r="I14" s="59">
        <f t="shared" si="12"/>
        <v>119000</v>
      </c>
      <c r="J14" s="59">
        <f t="shared" si="12"/>
        <v>142000</v>
      </c>
      <c r="K14" s="59">
        <f t="shared" si="12"/>
        <v>142000</v>
      </c>
      <c r="L14" s="59">
        <f t="shared" si="12"/>
        <v>165000</v>
      </c>
      <c r="M14" s="59">
        <f t="shared" si="12"/>
        <v>165000</v>
      </c>
      <c r="N14" s="59">
        <f t="shared" si="12"/>
        <v>188000</v>
      </c>
      <c r="O14" s="59">
        <f t="shared" si="12"/>
        <v>1433000</v>
      </c>
      <c r="P14" s="59">
        <f t="shared" si="12"/>
        <v>2816000</v>
      </c>
      <c r="Q14" s="59">
        <f t="shared" si="12"/>
        <v>5032000</v>
      </c>
      <c r="R14" s="59">
        <f t="shared" si="12"/>
        <v>9464000</v>
      </c>
      <c r="S14" s="59">
        <f t="shared" si="12"/>
        <v>18328000</v>
      </c>
    </row>
    <row r="15" ht="13.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printOptions horizontalCentered="1" verticalCentered="1"/>
  <pageMargins bottom="0.75" footer="0.0" header="0.0" left="0.25" right="0.25" top="0.75"/>
  <pageSetup paperSize="3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18" width="13.0"/>
    <col customWidth="1" min="19" max="26" width="9.38"/>
  </cols>
  <sheetData>
    <row r="1" ht="13.5" customHeight="1">
      <c r="A1" s="7" t="s">
        <v>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ht="13.5" customHeight="1"/>
    <row r="3" ht="13.5" customHeight="1"/>
    <row r="4" ht="13.5" customHeight="1">
      <c r="A4" s="60"/>
      <c r="B4" s="61" t="s">
        <v>2</v>
      </c>
      <c r="C4" s="61" t="s">
        <v>3</v>
      </c>
      <c r="D4" s="61" t="s">
        <v>4</v>
      </c>
      <c r="E4" s="61" t="s">
        <v>5</v>
      </c>
      <c r="F4" s="61" t="s">
        <v>6</v>
      </c>
      <c r="G4" s="61" t="s">
        <v>7</v>
      </c>
      <c r="H4" s="61" t="s">
        <v>8</v>
      </c>
      <c r="I4" s="61" t="s">
        <v>9</v>
      </c>
      <c r="J4" s="61" t="s">
        <v>10</v>
      </c>
      <c r="K4" s="61" t="s">
        <v>11</v>
      </c>
      <c r="L4" s="61" t="s">
        <v>12</v>
      </c>
      <c r="M4" s="61" t="s">
        <v>13</v>
      </c>
      <c r="N4" s="61" t="s">
        <v>52</v>
      </c>
      <c r="O4" s="61" t="s">
        <v>15</v>
      </c>
      <c r="P4" s="61" t="s">
        <v>16</v>
      </c>
      <c r="Q4" s="61" t="s">
        <v>17</v>
      </c>
      <c r="R4" s="62" t="s">
        <v>18</v>
      </c>
    </row>
    <row r="5" ht="13.5" customHeight="1">
      <c r="A5" s="63" t="s">
        <v>32</v>
      </c>
      <c r="B5" s="64">
        <f>Ingresos!D12</f>
        <v>0</v>
      </c>
      <c r="C5" s="64">
        <f>Ingresos!E12</f>
        <v>43000</v>
      </c>
      <c r="D5" s="64">
        <f>Ingresos!F12</f>
        <v>48000</v>
      </c>
      <c r="E5" s="64">
        <f>Ingresos!G12</f>
        <v>96000</v>
      </c>
      <c r="F5" s="64">
        <f>Ingresos!H12</f>
        <v>106000</v>
      </c>
      <c r="G5" s="64">
        <f>Ingresos!I12</f>
        <v>159000</v>
      </c>
      <c r="H5" s="64">
        <f>Ingresos!J12</f>
        <v>169000</v>
      </c>
      <c r="I5" s="64">
        <f>Ingresos!K12</f>
        <v>222000</v>
      </c>
      <c r="J5" s="64">
        <f>Ingresos!L12</f>
        <v>232000</v>
      </c>
      <c r="K5" s="64">
        <f>Ingresos!M12</f>
        <v>285000</v>
      </c>
      <c r="L5" s="64">
        <f>Ingresos!N12</f>
        <v>295000</v>
      </c>
      <c r="M5" s="64">
        <f>Ingresos!O12</f>
        <v>348000</v>
      </c>
      <c r="N5" s="64">
        <f>Ingresos!P12</f>
        <v>2003000</v>
      </c>
      <c r="O5" s="64">
        <f>Ingresos!Q12</f>
        <v>4536000</v>
      </c>
      <c r="P5" s="64">
        <f>Ingresos!R12</f>
        <v>6804000</v>
      </c>
      <c r="Q5" s="64">
        <f>Ingresos!S12</f>
        <v>9072000</v>
      </c>
      <c r="R5" s="65">
        <f>Ingresos!T12</f>
        <v>11340000</v>
      </c>
    </row>
    <row r="6" ht="13.5" customHeight="1">
      <c r="A6" s="66" t="s">
        <v>35</v>
      </c>
      <c r="B6" s="67">
        <f>Egresos!C5</f>
        <v>50000</v>
      </c>
      <c r="C6" s="67">
        <f>Egresos!D5</f>
        <v>73000</v>
      </c>
      <c r="D6" s="67">
        <f>Egresos!E5</f>
        <v>73000</v>
      </c>
      <c r="E6" s="67">
        <f>Egresos!F5</f>
        <v>96000</v>
      </c>
      <c r="F6" s="67">
        <f>Egresos!G5</f>
        <v>96000</v>
      </c>
      <c r="G6" s="67">
        <f>Egresos!H5</f>
        <v>119000</v>
      </c>
      <c r="H6" s="67">
        <f>Egresos!I5</f>
        <v>119000</v>
      </c>
      <c r="I6" s="67">
        <f>Egresos!J5</f>
        <v>142000</v>
      </c>
      <c r="J6" s="67">
        <f>Egresos!K5</f>
        <v>142000</v>
      </c>
      <c r="K6" s="67">
        <f>Egresos!L5</f>
        <v>165000</v>
      </c>
      <c r="L6" s="67">
        <f>Egresos!M5</f>
        <v>165000</v>
      </c>
      <c r="M6" s="67">
        <f>Egresos!N5</f>
        <v>188000</v>
      </c>
      <c r="N6" s="67">
        <f>Egresos!O5</f>
        <v>1428000</v>
      </c>
      <c r="O6" s="67">
        <f>Egresos!P5</f>
        <v>2256000</v>
      </c>
      <c r="P6" s="67">
        <f>Egresos!Q5</f>
        <v>3912000</v>
      </c>
      <c r="Q6" s="67">
        <f>Egresos!R5</f>
        <v>7224000</v>
      </c>
      <c r="R6" s="68">
        <f>Egresos!S5</f>
        <v>13848000</v>
      </c>
    </row>
    <row r="7" ht="13.5" customHeight="1">
      <c r="A7" s="57" t="s">
        <v>53</v>
      </c>
      <c r="B7" s="69">
        <f t="shared" ref="B7:R7" si="1">B5-B6</f>
        <v>-50000</v>
      </c>
      <c r="C7" s="69">
        <f t="shared" si="1"/>
        <v>-30000</v>
      </c>
      <c r="D7" s="69">
        <f t="shared" si="1"/>
        <v>-25000</v>
      </c>
      <c r="E7" s="69">
        <f t="shared" si="1"/>
        <v>0</v>
      </c>
      <c r="F7" s="69">
        <f t="shared" si="1"/>
        <v>10000</v>
      </c>
      <c r="G7" s="69">
        <f t="shared" si="1"/>
        <v>40000</v>
      </c>
      <c r="H7" s="69">
        <f t="shared" si="1"/>
        <v>50000</v>
      </c>
      <c r="I7" s="69">
        <f t="shared" si="1"/>
        <v>80000</v>
      </c>
      <c r="J7" s="69">
        <f t="shared" si="1"/>
        <v>90000</v>
      </c>
      <c r="K7" s="69">
        <f t="shared" si="1"/>
        <v>120000</v>
      </c>
      <c r="L7" s="69">
        <f t="shared" si="1"/>
        <v>130000</v>
      </c>
      <c r="M7" s="69">
        <f t="shared" si="1"/>
        <v>160000</v>
      </c>
      <c r="N7" s="69">
        <f t="shared" si="1"/>
        <v>575000</v>
      </c>
      <c r="O7" s="69">
        <f t="shared" si="1"/>
        <v>2280000</v>
      </c>
      <c r="P7" s="69">
        <f t="shared" si="1"/>
        <v>2892000</v>
      </c>
      <c r="Q7" s="69">
        <f t="shared" si="1"/>
        <v>1848000</v>
      </c>
      <c r="R7" s="69">
        <f t="shared" si="1"/>
        <v>-2508000</v>
      </c>
      <c r="S7" s="11"/>
      <c r="T7" s="11"/>
      <c r="U7" s="11"/>
      <c r="V7" s="11"/>
      <c r="W7" s="11"/>
      <c r="X7" s="11"/>
      <c r="Y7" s="11"/>
      <c r="Z7" s="11"/>
    </row>
    <row r="8" ht="13.5" customHeight="1">
      <c r="A8" s="70" t="s">
        <v>43</v>
      </c>
      <c r="B8" s="71">
        <f>Egresos!C10</f>
        <v>0</v>
      </c>
      <c r="C8" s="71">
        <f>Egresos!D10</f>
        <v>5000</v>
      </c>
      <c r="D8" s="71" t="str">
        <f>Egresos!E10</f>
        <v/>
      </c>
      <c r="E8" s="71" t="str">
        <f>Egresos!F10</f>
        <v/>
      </c>
      <c r="F8" s="71" t="str">
        <f>Egresos!G10</f>
        <v/>
      </c>
      <c r="G8" s="71" t="str">
        <f>Egresos!H10</f>
        <v/>
      </c>
      <c r="H8" s="71" t="str">
        <f>Egresos!I10</f>
        <v/>
      </c>
      <c r="I8" s="71" t="str">
        <f>Egresos!J10</f>
        <v/>
      </c>
      <c r="J8" s="71" t="str">
        <f>Egresos!K10</f>
        <v/>
      </c>
      <c r="K8" s="71" t="str">
        <f>Egresos!L10</f>
        <v/>
      </c>
      <c r="L8" s="71" t="str">
        <f>Egresos!M10</f>
        <v/>
      </c>
      <c r="M8" s="71" t="str">
        <f>Egresos!N10</f>
        <v/>
      </c>
      <c r="N8" s="71">
        <f>Egresos!O10</f>
        <v>5000</v>
      </c>
      <c r="O8" s="71">
        <f>Egresos!P10</f>
        <v>560000</v>
      </c>
      <c r="P8" s="71">
        <f>Egresos!Q10</f>
        <v>1120000</v>
      </c>
      <c r="Q8" s="71">
        <f>Egresos!R10</f>
        <v>2240000</v>
      </c>
      <c r="R8" s="72">
        <f>Egresos!S10</f>
        <v>4480000</v>
      </c>
    </row>
    <row r="9" ht="13.5" customHeight="1">
      <c r="A9" s="57" t="s">
        <v>49</v>
      </c>
      <c r="B9" s="67">
        <f t="shared" ref="B9:R9" si="2">B6+B8</f>
        <v>50000</v>
      </c>
      <c r="C9" s="67">
        <f t="shared" si="2"/>
        <v>78000</v>
      </c>
      <c r="D9" s="67">
        <f t="shared" si="2"/>
        <v>73000</v>
      </c>
      <c r="E9" s="67">
        <f t="shared" si="2"/>
        <v>96000</v>
      </c>
      <c r="F9" s="67">
        <f t="shared" si="2"/>
        <v>96000</v>
      </c>
      <c r="G9" s="67">
        <f t="shared" si="2"/>
        <v>119000</v>
      </c>
      <c r="H9" s="67">
        <f t="shared" si="2"/>
        <v>119000</v>
      </c>
      <c r="I9" s="67">
        <f t="shared" si="2"/>
        <v>142000</v>
      </c>
      <c r="J9" s="67">
        <f t="shared" si="2"/>
        <v>142000</v>
      </c>
      <c r="K9" s="67">
        <f t="shared" si="2"/>
        <v>165000</v>
      </c>
      <c r="L9" s="67">
        <f t="shared" si="2"/>
        <v>165000</v>
      </c>
      <c r="M9" s="67">
        <f t="shared" si="2"/>
        <v>188000</v>
      </c>
      <c r="N9" s="67">
        <f t="shared" si="2"/>
        <v>1433000</v>
      </c>
      <c r="O9" s="67">
        <f t="shared" si="2"/>
        <v>2816000</v>
      </c>
      <c r="P9" s="67">
        <f t="shared" si="2"/>
        <v>5032000</v>
      </c>
      <c r="Q9" s="67">
        <f t="shared" si="2"/>
        <v>9464000</v>
      </c>
      <c r="R9" s="68">
        <f t="shared" si="2"/>
        <v>18328000</v>
      </c>
    </row>
    <row r="10" ht="13.5" customHeight="1">
      <c r="A10" s="57" t="s">
        <v>55</v>
      </c>
      <c r="B10" s="69">
        <f t="shared" ref="B10:R10" si="3">B5-B9</f>
        <v>-50000</v>
      </c>
      <c r="C10" s="69">
        <f t="shared" si="3"/>
        <v>-35000</v>
      </c>
      <c r="D10" s="69">
        <f t="shared" si="3"/>
        <v>-25000</v>
      </c>
      <c r="E10" s="69">
        <f t="shared" si="3"/>
        <v>0</v>
      </c>
      <c r="F10" s="69">
        <f t="shared" si="3"/>
        <v>10000</v>
      </c>
      <c r="G10" s="69">
        <f t="shared" si="3"/>
        <v>40000</v>
      </c>
      <c r="H10" s="69">
        <f t="shared" si="3"/>
        <v>50000</v>
      </c>
      <c r="I10" s="69">
        <f t="shared" si="3"/>
        <v>80000</v>
      </c>
      <c r="J10" s="69">
        <f t="shared" si="3"/>
        <v>90000</v>
      </c>
      <c r="K10" s="69">
        <f t="shared" si="3"/>
        <v>120000</v>
      </c>
      <c r="L10" s="69">
        <f t="shared" si="3"/>
        <v>130000</v>
      </c>
      <c r="M10" s="69">
        <f t="shared" si="3"/>
        <v>160000</v>
      </c>
      <c r="N10" s="69">
        <f t="shared" si="3"/>
        <v>570000</v>
      </c>
      <c r="O10" s="69">
        <f t="shared" si="3"/>
        <v>1720000</v>
      </c>
      <c r="P10" s="69">
        <f t="shared" si="3"/>
        <v>1772000</v>
      </c>
      <c r="Q10" s="69">
        <f t="shared" si="3"/>
        <v>-392000</v>
      </c>
      <c r="R10" s="69">
        <f t="shared" si="3"/>
        <v>-6988000</v>
      </c>
    </row>
    <row r="11" ht="13.5" customHeight="1"/>
    <row r="12" ht="13.5" customHeight="1"/>
    <row r="13" ht="13.5" customHeight="1">
      <c r="A13" s="73">
        <v>0.0</v>
      </c>
      <c r="B13" s="73">
        <v>1.0</v>
      </c>
      <c r="C13" s="73">
        <v>2.0</v>
      </c>
      <c r="D13" s="73">
        <v>3.0</v>
      </c>
      <c r="E13" s="73">
        <v>4.0</v>
      </c>
      <c r="F13" s="73">
        <v>5.0</v>
      </c>
      <c r="G13" s="73">
        <v>6.0</v>
      </c>
      <c r="H13" s="73">
        <v>7.0</v>
      </c>
      <c r="I13" s="73">
        <v>8.0</v>
      </c>
      <c r="J13" s="73">
        <v>9.0</v>
      </c>
      <c r="K13" s="73">
        <v>10.0</v>
      </c>
      <c r="L13" s="73">
        <v>11.0</v>
      </c>
      <c r="M13" s="73">
        <v>12.0</v>
      </c>
      <c r="N13" s="73">
        <v>24.0</v>
      </c>
      <c r="O13" s="73">
        <v>36.0</v>
      </c>
      <c r="P13" s="73">
        <v>48.0</v>
      </c>
      <c r="Q13" s="73">
        <v>60.0</v>
      </c>
    </row>
    <row r="14" ht="13.5" customHeight="1">
      <c r="A14" s="73">
        <v>0.0</v>
      </c>
      <c r="B14" s="73">
        <v>-469800.0</v>
      </c>
      <c r="C14" s="73">
        <v>-379500.0</v>
      </c>
      <c r="D14" s="73">
        <v>-276600.0</v>
      </c>
      <c r="E14" s="73">
        <v>-511100.0</v>
      </c>
      <c r="F14" s="73">
        <v>-383000.0</v>
      </c>
      <c r="G14" s="73">
        <v>-242300.0</v>
      </c>
      <c r="H14" s="73">
        <v>-439000.0</v>
      </c>
      <c r="I14" s="73">
        <v>-273100.0</v>
      </c>
      <c r="J14" s="73">
        <v>-159700.0</v>
      </c>
      <c r="K14" s="73">
        <v>-46300.0</v>
      </c>
      <c r="L14" s="73">
        <v>67100.0</v>
      </c>
      <c r="M14" s="73">
        <v>180500.0</v>
      </c>
      <c r="N14" s="73">
        <v>5130000.0</v>
      </c>
      <c r="O14" s="73">
        <v>2.3808E7</v>
      </c>
      <c r="P14" s="73">
        <v>5.2992E7</v>
      </c>
      <c r="Q14" s="73">
        <v>1.09492E8</v>
      </c>
    </row>
    <row r="15" ht="13.5" customHeight="1"/>
    <row r="16" ht="13.5" customHeight="1"/>
    <row r="17" ht="13.5" customHeight="1">
      <c r="L17" s="73">
        <v>0.0</v>
      </c>
      <c r="M17" s="73">
        <v>12.0</v>
      </c>
      <c r="N17" s="73">
        <v>24.0</v>
      </c>
      <c r="O17" s="73">
        <v>36.0</v>
      </c>
      <c r="P17" s="73">
        <v>48.0</v>
      </c>
      <c r="Q17" s="73">
        <v>60.0</v>
      </c>
    </row>
    <row r="18" ht="13.5" customHeight="1">
      <c r="L18" s="73">
        <v>0.0</v>
      </c>
      <c r="M18" s="73">
        <v>180500.0</v>
      </c>
      <c r="N18" s="73">
        <v>5130000.0</v>
      </c>
      <c r="O18" s="73">
        <v>2.3808E7</v>
      </c>
      <c r="P18" s="73">
        <v>5.2992E7</v>
      </c>
      <c r="Q18" s="73">
        <v>1.09492E8</v>
      </c>
    </row>
    <row r="19" ht="13.5" customHeight="1"/>
    <row r="20" ht="13.5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2026-06-01T17:45:14Z</dcterms:created>
</cp:coreProperties>
</file>