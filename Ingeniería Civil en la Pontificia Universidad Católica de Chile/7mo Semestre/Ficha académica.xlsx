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cha académica" sheetId="1" r:id="rId5"/>
  </sheets>
  <definedNames/>
  <calcPr/>
</workbook>
</file>

<file path=xl/sharedStrings.xml><?xml version="1.0" encoding="utf-8"?>
<sst xmlns="http://schemas.openxmlformats.org/spreadsheetml/2006/main" count="151" uniqueCount="119">
  <si>
    <t>Libro de calificaciones</t>
  </si>
  <si>
    <t>Ramos</t>
  </si>
  <si>
    <t>Promedio</t>
  </si>
  <si>
    <t>Estado</t>
  </si>
  <si>
    <t>Creditos</t>
  </si>
  <si>
    <t>ICS2613 Contabilidad y Control de Gestión</t>
  </si>
  <si>
    <t>ICS2813 Organización y Comportamiento en la Empresa</t>
  </si>
  <si>
    <t>IIC2433 Minería de Datos</t>
  </si>
  <si>
    <t>IIC100G En Búsqueda del Bienestar: ¿Qué Nos Dice la Ciencia?</t>
  </si>
  <si>
    <t>DER115E Cultura y Entretenimiento: Un Enfoque Jurídico</t>
  </si>
  <si>
    <t>ING2030 Investigación, Innovación y Emprendimiento</t>
  </si>
  <si>
    <t xml:space="preserve">Promedio general </t>
  </si>
  <si>
    <t>Detalle de calificaciónes</t>
  </si>
  <si>
    <t>Créditos:</t>
  </si>
  <si>
    <t>Nota pruebas &gt;= 4.0</t>
  </si>
  <si>
    <t>Nota final &gt;= 4.0</t>
  </si>
  <si>
    <t>Evaluaciónes de catedra</t>
  </si>
  <si>
    <t>Ponderación</t>
  </si>
  <si>
    <t>Notas</t>
  </si>
  <si>
    <t>Controles</t>
  </si>
  <si>
    <t>I1</t>
  </si>
  <si>
    <t>Control 1</t>
  </si>
  <si>
    <t>I2</t>
  </si>
  <si>
    <t>Control 2</t>
  </si>
  <si>
    <t>Examen &gt;= 3.0</t>
  </si>
  <si>
    <t>Control 3</t>
  </si>
  <si>
    <t>Control 4</t>
  </si>
  <si>
    <t>Estudios de casos</t>
  </si>
  <si>
    <t>Control 5</t>
  </si>
  <si>
    <t>Control 6</t>
  </si>
  <si>
    <t>Control 7</t>
  </si>
  <si>
    <t>Control 8</t>
  </si>
  <si>
    <t>Control 9</t>
  </si>
  <si>
    <t>Control 10</t>
  </si>
  <si>
    <t>Caso 1</t>
  </si>
  <si>
    <t>Caso 2</t>
  </si>
  <si>
    <t>Puntaje total</t>
  </si>
  <si>
    <t>Nota final &gt;= 3.95</t>
  </si>
  <si>
    <t>Métodos evaluativos</t>
  </si>
  <si>
    <t>Puntaje potencial</t>
  </si>
  <si>
    <t>Puntaje obtenido</t>
  </si>
  <si>
    <t>Puntajes de ensayos</t>
  </si>
  <si>
    <t>Puntaje (max. 26 pts.)</t>
  </si>
  <si>
    <t>Ensayos &gt; 156 pts.</t>
  </si>
  <si>
    <t>Ensayo 1</t>
  </si>
  <si>
    <t>Entregas proyecto semestral &gt; 55 pts.</t>
  </si>
  <si>
    <t>Ensayo 2</t>
  </si>
  <si>
    <t xml:space="preserve">Actividades en clases </t>
  </si>
  <si>
    <t>48-96</t>
  </si>
  <si>
    <t>Ensayo 3</t>
  </si>
  <si>
    <t>Interrogación &gt; 40 pts.</t>
  </si>
  <si>
    <t>Ensayo 4</t>
  </si>
  <si>
    <t>Ensayo 5</t>
  </si>
  <si>
    <t>Ensayo 6</t>
  </si>
  <si>
    <t>Ensayo 7</t>
  </si>
  <si>
    <t>Ensayo 8</t>
  </si>
  <si>
    <t>Ensayo 9</t>
  </si>
  <si>
    <t>Ensayo 10</t>
  </si>
  <si>
    <t>Puntajes de entrega proyecto</t>
  </si>
  <si>
    <t>Puntaje</t>
  </si>
  <si>
    <t>Entrega 1 (max. 30 pts.)</t>
  </si>
  <si>
    <t>Entrega 2 (max. 30 pts.)</t>
  </si>
  <si>
    <t>Entrega final (min 20 pts. y max. 60 pts.)</t>
  </si>
  <si>
    <t>Puntajes de participacion en clases</t>
  </si>
  <si>
    <t xml:space="preserve">Puntaje </t>
  </si>
  <si>
    <t xml:space="preserve">Puntos </t>
  </si>
  <si>
    <t xml:space="preserve">Nota final </t>
  </si>
  <si>
    <t>Tareas</t>
  </si>
  <si>
    <t>Tareas &gt;= 4.0</t>
  </si>
  <si>
    <t>Tarea 1</t>
  </si>
  <si>
    <t>Proyecto &gt;= 4.0</t>
  </si>
  <si>
    <t>Tarea 2</t>
  </si>
  <si>
    <t>Tarea 3</t>
  </si>
  <si>
    <t>Proyecto</t>
  </si>
  <si>
    <t>Propuesta</t>
  </si>
  <si>
    <t xml:space="preserve">Avance </t>
  </si>
  <si>
    <t>Entrega final</t>
  </si>
  <si>
    <t>Actividades en clases &gt;= 4.0</t>
  </si>
  <si>
    <t>Ticket de salida &gt;= 4.0</t>
  </si>
  <si>
    <t xml:space="preserve">Tareas </t>
  </si>
  <si>
    <t>Tarea 4</t>
  </si>
  <si>
    <t>Tarea 5</t>
  </si>
  <si>
    <t>Actividades en clases</t>
  </si>
  <si>
    <t>Actividad 1</t>
  </si>
  <si>
    <t>Actividad 2</t>
  </si>
  <si>
    <t>Actividad 3</t>
  </si>
  <si>
    <t>Actividad 4</t>
  </si>
  <si>
    <t>Actividad 5</t>
  </si>
  <si>
    <t>Actividad 6</t>
  </si>
  <si>
    <t>Actividad 7</t>
  </si>
  <si>
    <t>Actividad 8</t>
  </si>
  <si>
    <t>Actividad 9</t>
  </si>
  <si>
    <t>Actividad 10</t>
  </si>
  <si>
    <t>Actividad 11</t>
  </si>
  <si>
    <t>Actividad 12</t>
  </si>
  <si>
    <t>Tickets de salida</t>
  </si>
  <si>
    <t>Ticket 1</t>
  </si>
  <si>
    <t>Ticket 2</t>
  </si>
  <si>
    <t>Ticket 3</t>
  </si>
  <si>
    <t>Ticket 4</t>
  </si>
  <si>
    <t>Ticket 5</t>
  </si>
  <si>
    <t>Ticket 6</t>
  </si>
  <si>
    <t>Ticket 7</t>
  </si>
  <si>
    <t>Ticket 8</t>
  </si>
  <si>
    <t>Ticket 9</t>
  </si>
  <si>
    <t>Ticket 10</t>
  </si>
  <si>
    <t>Asistencía</t>
  </si>
  <si>
    <t>Nota final &gt; 4.0</t>
  </si>
  <si>
    <t>&gt; 60%</t>
  </si>
  <si>
    <t>Trabajo en grupo</t>
  </si>
  <si>
    <t>Examen</t>
  </si>
  <si>
    <t>Nota grupal</t>
  </si>
  <si>
    <t>Evaluacion de pares</t>
  </si>
  <si>
    <t>Entrega 1: problema, cliente, análisis de entorno y primera solución</t>
  </si>
  <si>
    <t>Entrega 2: problema, cliente, entorno, solución y prototipo</t>
  </si>
  <si>
    <t>5,67</t>
  </si>
  <si>
    <t>Entrega 3: modelo de negocio, cadena de valor y proyecciones financieras</t>
  </si>
  <si>
    <t>Entrega 4: pitch con proyecto emprendimiento y producto mínimo viable &gt; 4.0</t>
  </si>
  <si>
    <t>Nota de participación individual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</si>
</sst>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0.0"/>
  </numFmts>
  <fonts count="14">
    <font>
      <sz val="10.0"/>
      <color rgb="FF000000"/>
      <name val="Arial"/>
      <scheme val="minor"/>
    </font>
    <font>
      <color theme="1"/>
      <name val="Calibri"/>
    </font>
    <font>
      <b/>
      <sz val="20.0"/>
      <color rgb="FFFFFFFF"/>
      <name val="Calibri"/>
    </font>
    <font/>
    <font>
      <sz val="11.0"/>
      <color rgb="FFFFFFFF"/>
      <name val="Calibri"/>
    </font>
    <font>
      <color rgb="FFFFFFFF"/>
      <name val="Calibri"/>
    </font>
    <font>
      <b/>
      <sz val="11.0"/>
      <color theme="1"/>
      <name val="Calibri"/>
    </font>
    <font>
      <b/>
      <sz val="8.0"/>
      <color rgb="FF000000"/>
      <name val="Arial"/>
    </font>
    <font>
      <b/>
      <sz val="15.0"/>
      <color rgb="FFFFFFFF"/>
      <name val="Calibri"/>
    </font>
    <font>
      <sz val="11.0"/>
      <color theme="1"/>
      <name val="Calibri"/>
    </font>
    <font>
      <color rgb="FF000000"/>
      <name val="Calibri"/>
    </font>
    <font>
      <color theme="1"/>
      <name val="Arial"/>
      <scheme val="minor"/>
    </font>
    <font>
      <b/>
      <color rgb="FF000000"/>
      <name val="Calibri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4" numFmtId="0" xfId="0" applyAlignment="1" applyBorder="1" applyFill="1" applyFont="1">
      <alignment horizontal="center" vertical="bottom"/>
    </xf>
    <xf borderId="8" fillId="0" fontId="3" numFmtId="0" xfId="0" applyBorder="1" applyFont="1"/>
    <xf borderId="9" fillId="0" fontId="3" numFmtId="0" xfId="0" applyBorder="1" applyFont="1"/>
    <xf borderId="10" fillId="2" fontId="5" numFmtId="0" xfId="0" applyAlignment="1" applyBorder="1" applyFill="1" applyFont="1">
      <alignment horizontal="center" vertical="bottom"/>
    </xf>
    <xf borderId="10" fillId="2" fontId="5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 vertical="bottom"/>
    </xf>
    <xf borderId="10" fillId="0" fontId="1" numFmtId="2" xfId="0" applyAlignment="1" applyBorder="1" applyFont="1" applyNumberFormat="1">
      <alignment horizontal="center" readingOrder="0" vertical="bottom"/>
    </xf>
    <xf borderId="10" fillId="0" fontId="1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 readingOrder="0" vertical="bottom"/>
    </xf>
    <xf borderId="10" fillId="0" fontId="1" numFmtId="2" xfId="0" applyAlignment="1" applyBorder="1" applyFont="1" applyNumberFormat="1">
      <alignment horizontal="center" vertical="bottom"/>
    </xf>
    <xf borderId="7" fillId="0" fontId="1" numFmtId="0" xfId="0" applyAlignment="1" applyBorder="1" applyFont="1">
      <alignment readingOrder="0" vertical="top"/>
    </xf>
    <xf borderId="10" fillId="0" fontId="1" numFmtId="1" xfId="0" applyAlignment="1" applyBorder="1" applyFont="1" applyNumberFormat="1">
      <alignment horizontal="center" readingOrder="0" vertical="bottom"/>
    </xf>
    <xf borderId="7" fillId="0" fontId="6" numFmtId="0" xfId="0" applyAlignment="1" applyBorder="1" applyFont="1">
      <alignment vertical="bottom"/>
    </xf>
    <xf borderId="10" fillId="0" fontId="6" numFmtId="2" xfId="0" applyAlignment="1" applyBorder="1" applyFont="1" applyNumberFormat="1">
      <alignment horizontal="center" vertical="bottom"/>
    </xf>
    <xf borderId="10" fillId="0" fontId="6" numFmtId="0" xfId="0" applyAlignment="1" applyBorder="1" applyFont="1">
      <alignment horizontal="center" vertical="bottom"/>
    </xf>
    <xf borderId="0" fillId="2" fontId="4" numFmtId="0" xfId="0" applyAlignment="1" applyFill="1" applyFont="1">
      <alignment readingOrder="0"/>
    </xf>
    <xf borderId="0" fillId="0" fontId="7" numFmtId="0" xfId="0" applyAlignment="1" applyFont="1">
      <alignment horizontal="right" readingOrder="0"/>
    </xf>
    <xf borderId="1" fillId="2" fontId="8" numFmtId="0" xfId="0" applyAlignment="1" applyBorder="1" applyFill="1" applyFont="1">
      <alignment horizontal="left" vertical="center"/>
    </xf>
    <xf borderId="10" fillId="2" fontId="4" numFmtId="0" xfId="0" applyAlignment="1" applyBorder="1" applyFill="1" applyFont="1">
      <alignment vertical="bottom"/>
    </xf>
    <xf borderId="10" fillId="2" fontId="4" numFmtId="0" xfId="0" applyAlignment="1" applyBorder="1" applyFill="1" applyFont="1">
      <alignment readingOrder="0" vertical="bottom"/>
    </xf>
    <xf borderId="10" fillId="2" fontId="4" numFmtId="0" xfId="0" applyAlignment="1" applyBorder="1" applyFill="1" applyFont="1">
      <alignment horizontal="center" vertical="bottom"/>
    </xf>
    <xf borderId="10" fillId="2" fontId="5" numFmtId="2" xfId="0" applyAlignment="1" applyBorder="1" applyFill="1" applyFont="1" applyNumberFormat="1">
      <alignment horizontal="center" readingOrder="0"/>
    </xf>
    <xf borderId="7" fillId="3" fontId="9" numFmtId="0" xfId="0" applyAlignment="1" applyBorder="1" applyFill="1" applyFont="1">
      <alignment horizontal="center" readingOrder="0" vertical="bottom"/>
    </xf>
    <xf borderId="9" fillId="3" fontId="9" numFmtId="0" xfId="0" applyAlignment="1" applyBorder="1" applyFill="1" applyFont="1">
      <alignment horizontal="center" readingOrder="0" vertical="bottom"/>
    </xf>
    <xf borderId="10" fillId="3" fontId="9" numFmtId="0" xfId="0" applyAlignment="1" applyBorder="1" applyFill="1" applyFont="1">
      <alignment horizontal="center" readingOrder="0" vertical="bottom"/>
    </xf>
    <xf borderId="7" fillId="4" fontId="1" numFmtId="0" xfId="0" applyAlignment="1" applyBorder="1" applyFill="1" applyFont="1">
      <alignment vertical="bottom"/>
    </xf>
    <xf borderId="10" fillId="4" fontId="1" numFmtId="9" xfId="0" applyAlignment="1" applyBorder="1" applyFill="1" applyFont="1" applyNumberFormat="1">
      <alignment horizontal="center" readingOrder="0" vertical="bottom"/>
    </xf>
    <xf borderId="10" fillId="4" fontId="1" numFmtId="2" xfId="0" applyAlignment="1" applyBorder="1" applyFill="1" applyFont="1" applyNumberFormat="1">
      <alignment horizontal="center" readingOrder="0" vertical="bottom"/>
    </xf>
    <xf borderId="7" fillId="4" fontId="1" numFmtId="0" xfId="0" applyAlignment="1" applyBorder="1" applyFill="1" applyFont="1">
      <alignment readingOrder="0" vertical="bottom"/>
    </xf>
    <xf borderId="10" fillId="4" fontId="1" numFmtId="164" xfId="0" applyAlignment="1" applyBorder="1" applyFill="1" applyFont="1" applyNumberFormat="1">
      <alignment readingOrder="0" vertical="bottom"/>
    </xf>
    <xf borderId="10" fillId="4" fontId="1" numFmtId="165" xfId="0" applyAlignment="1" applyBorder="1" applyFill="1" applyFont="1" applyNumberFormat="1">
      <alignment horizontal="center" readingOrder="0" vertical="bottom"/>
    </xf>
    <xf borderId="10" fillId="0" fontId="10" numFmtId="2" xfId="0" applyAlignment="1" applyBorder="1" applyFont="1" applyNumberFormat="1">
      <alignment horizontal="center" readingOrder="0" vertical="bottom"/>
    </xf>
    <xf borderId="10" fillId="4" fontId="1" numFmtId="0" xfId="0" applyAlignment="1" applyBorder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4" fontId="1" numFmtId="9" xfId="0" applyAlignment="1" applyFill="1" applyFont="1" applyNumberFormat="1">
      <alignment horizontal="center" readingOrder="0" vertical="bottom"/>
    </xf>
    <xf borderId="0" fillId="0" fontId="10" numFmtId="2" xfId="0" applyAlignment="1" applyFont="1" applyNumberFormat="1">
      <alignment horizontal="center" readingOrder="0" vertical="bottom"/>
    </xf>
    <xf borderId="0" fillId="0" fontId="11" numFmtId="0" xfId="0" applyAlignment="1" applyFont="1">
      <alignment readingOrder="0"/>
    </xf>
    <xf borderId="0" fillId="0" fontId="11" numFmtId="9" xfId="0" applyAlignment="1" applyFont="1" applyNumberFormat="1">
      <alignment horizontal="center"/>
    </xf>
    <xf borderId="10" fillId="2" fontId="4" numFmtId="2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horizontal="center" readingOrder="0" vertical="bottom"/>
    </xf>
    <xf borderId="10" fillId="4" fontId="1" numFmtId="4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165" xfId="0" applyAlignment="1" applyFont="1" applyNumberFormat="1">
      <alignment horizontal="center" readingOrder="0" vertical="bottom"/>
    </xf>
    <xf borderId="10" fillId="4" fontId="1" numFmtId="0" xfId="0" applyAlignment="1" applyBorder="1" applyFill="1" applyFont="1">
      <alignment horizontal="center" readingOrder="0" vertical="bottom"/>
    </xf>
    <xf borderId="0" fillId="4" fontId="1" numFmtId="4" xfId="0" applyAlignment="1" applyFill="1" applyFont="1" applyNumberFormat="1">
      <alignment horizontal="center" readingOrder="0" vertical="bottom"/>
    </xf>
    <xf borderId="0" fillId="0" fontId="8" numFmtId="0" xfId="0" applyAlignment="1" applyFont="1">
      <alignment horizontal="left" vertical="center"/>
    </xf>
    <xf borderId="10" fillId="4" fontId="1" numFmtId="1" xfId="0" applyAlignment="1" applyBorder="1" applyFill="1" applyFont="1" applyNumberFormat="1">
      <alignment horizontal="center" readingOrder="0" vertical="bottom"/>
    </xf>
    <xf borderId="1" fillId="4" fontId="1" numFmtId="0" xfId="0" applyAlignment="1" applyBorder="1" applyFill="1" applyFont="1">
      <alignment readingOrder="0" vertical="bottom"/>
    </xf>
    <xf borderId="11" fillId="4" fontId="1" numFmtId="9" xfId="0" applyAlignment="1" applyBorder="1" applyFill="1" applyFont="1" applyNumberFormat="1">
      <alignment horizontal="center" readingOrder="0" vertical="bottom"/>
    </xf>
    <xf borderId="11" fillId="4" fontId="1" numFmtId="2" xfId="0" applyAlignment="1" applyBorder="1" applyFill="1" applyFont="1" applyNumberFormat="1">
      <alignment horizontal="center" readingOrder="0" vertical="bottom"/>
    </xf>
    <xf borderId="2" fillId="4" fontId="1" numFmtId="0" xfId="0" applyAlignment="1" applyBorder="1" applyFill="1" applyFont="1">
      <alignment readingOrder="0" vertical="bottom"/>
    </xf>
    <xf borderId="2" fillId="4" fontId="1" numFmtId="9" xfId="0" applyAlignment="1" applyBorder="1" applyFill="1" applyFont="1" applyNumberFormat="1">
      <alignment horizontal="center" readingOrder="0" vertical="bottom"/>
    </xf>
    <xf borderId="3" fillId="0" fontId="12" numFmtId="2" xfId="0" applyAlignment="1" applyBorder="1" applyFont="1" applyNumberFormat="1">
      <alignment horizontal="center" readingOrder="0" vertical="bottom"/>
    </xf>
    <xf borderId="8" fillId="4" fontId="1" numFmtId="0" xfId="0" applyAlignment="1" applyBorder="1" applyFill="1" applyFont="1">
      <alignment readingOrder="0" vertical="bottom"/>
    </xf>
    <xf borderId="10" fillId="0" fontId="13" numFmtId="2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vertical="bottom"/>
    </xf>
    <xf borderId="10" fillId="4" fontId="1" numFmtId="2" xfId="0" applyAlignment="1" applyBorder="1" applyFill="1" applyFont="1" applyNumberFormat="1">
      <alignment horizontal="center" vertical="bottom"/>
    </xf>
    <xf borderId="11" fillId="2" fontId="4" numFmtId="0" xfId="0" applyAlignment="1" applyBorder="1" applyFill="1" applyFont="1">
      <alignment horizontal="center" readingOrder="0" vertical="bottom"/>
    </xf>
    <xf borderId="11" fillId="2" fontId="4" numFmtId="1" xfId="0" applyAlignment="1" applyBorder="1" applyFill="1" applyFont="1" applyNumberFormat="1">
      <alignment horizontal="center" vertical="bottom"/>
    </xf>
    <xf borderId="11" fillId="2" fontId="5" numFmtId="2" xfId="0" applyAlignment="1" applyBorder="1" applyFill="1" applyFont="1" applyNumberFormat="1">
      <alignment horizontal="center" readingOrder="0"/>
    </xf>
    <xf borderId="10" fillId="4" fontId="10" numFmtId="2" xfId="0" applyAlignment="1" applyBorder="1" applyFill="1" applyFont="1" applyNumberFormat="1">
      <alignment horizontal="center" readingOrder="0" vertical="bottom"/>
    </xf>
    <xf borderId="10" fillId="2" fontId="4" numFmtId="1" xfId="0" applyAlignment="1" applyBorder="1" applyFill="1" applyFont="1" applyNumberFormat="1">
      <alignment horizontal="center" vertical="bottom"/>
    </xf>
    <xf borderId="10" fillId="2" fontId="4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6" width="16.38"/>
    <col customWidth="1" min="7" max="7" width="17.63"/>
    <col customWidth="1" min="8" max="9" width="16.38"/>
    <col customWidth="1" min="10" max="10" width="2.63"/>
    <col customWidth="1" min="21" max="21" width="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4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5"/>
      <c r="C3" s="6"/>
      <c r="D3" s="6"/>
      <c r="E3" s="6"/>
      <c r="F3" s="6"/>
      <c r="G3" s="6"/>
      <c r="H3" s="6"/>
      <c r="I3" s="7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s="8" t="s">
        <v>1</v>
      </c>
      <c r="C4" s="9"/>
      <c r="D4" s="9"/>
      <c r="E4" s="9"/>
      <c r="F4" s="10"/>
      <c r="G4" s="11" t="s">
        <v>2</v>
      </c>
      <c r="H4" s="12" t="s">
        <v>3</v>
      </c>
      <c r="I4" s="11" t="s">
        <v>4</v>
      </c>
      <c r="J4" s="1"/>
      <c r="K4" s="1"/>
      <c r="L4" s="1"/>
      <c r="M4" s="13"/>
      <c r="N4" s="1"/>
      <c r="O4" s="1"/>
      <c r="P4" s="1"/>
      <c r="Q4" s="1"/>
      <c r="R4" s="1"/>
    </row>
    <row r="5">
      <c r="A5" s="1"/>
      <c r="B5" s="14" t="s">
        <v>5</v>
      </c>
      <c r="C5" s="9"/>
      <c r="D5" s="9"/>
      <c r="E5" s="9"/>
      <c r="F5" s="10"/>
      <c r="G5" s="15">
        <f>I16</f>
        <v>5.401</v>
      </c>
      <c r="H5" s="16" t="str">
        <f t="shared" ref="H5:H11" si="1">IF(G5&gt;=4,"Aprobado","No aprobado")</f>
        <v>Aprobado</v>
      </c>
      <c r="I5" s="17">
        <v>10.0</v>
      </c>
      <c r="J5" s="1"/>
      <c r="K5" s="1"/>
      <c r="L5" s="1"/>
      <c r="M5" s="13"/>
      <c r="N5" s="1"/>
      <c r="O5" s="1"/>
      <c r="P5" s="1"/>
      <c r="Q5" s="1"/>
      <c r="R5" s="1"/>
    </row>
    <row r="6">
      <c r="A6" s="1"/>
      <c r="B6" s="14" t="s">
        <v>6</v>
      </c>
      <c r="C6" s="9"/>
      <c r="D6" s="9"/>
      <c r="E6" s="9"/>
      <c r="F6" s="10"/>
      <c r="G6" s="15">
        <f>I33</f>
        <v>5.7</v>
      </c>
      <c r="H6" s="16" t="str">
        <f t="shared" si="1"/>
        <v>Aprobado</v>
      </c>
      <c r="I6" s="17">
        <v>10.0</v>
      </c>
      <c r="J6" s="1"/>
      <c r="K6" s="1"/>
      <c r="L6" s="1"/>
      <c r="M6" s="13"/>
      <c r="N6" s="1"/>
      <c r="O6" s="1"/>
      <c r="P6" s="1"/>
      <c r="Q6" s="1"/>
      <c r="R6" s="1"/>
    </row>
    <row r="7">
      <c r="A7" s="1"/>
      <c r="B7" s="14" t="s">
        <v>7</v>
      </c>
      <c r="C7" s="9"/>
      <c r="D7" s="9"/>
      <c r="E7" s="9"/>
      <c r="F7" s="10"/>
      <c r="G7" s="15">
        <f>I53</f>
        <v>6.901</v>
      </c>
      <c r="H7" s="16" t="str">
        <f t="shared" si="1"/>
        <v>Aprobado</v>
      </c>
      <c r="I7" s="17">
        <v>10.0</v>
      </c>
      <c r="J7" s="1"/>
      <c r="K7" s="1"/>
      <c r="L7" s="1"/>
      <c r="M7" s="13"/>
      <c r="N7" s="1"/>
      <c r="O7" s="1"/>
      <c r="P7" s="1"/>
      <c r="Q7" s="1"/>
      <c r="R7" s="1"/>
    </row>
    <row r="8">
      <c r="A8" s="1"/>
      <c r="B8" s="14" t="s">
        <v>8</v>
      </c>
      <c r="C8" s="9"/>
      <c r="D8" s="9"/>
      <c r="E8" s="9"/>
      <c r="F8" s="10"/>
      <c r="G8" s="18">
        <f>I64</f>
        <v>6.6245625</v>
      </c>
      <c r="H8" s="16" t="str">
        <f t="shared" si="1"/>
        <v>Aprobado</v>
      </c>
      <c r="I8" s="17">
        <v>10.0</v>
      </c>
      <c r="J8" s="1"/>
      <c r="K8" s="1"/>
      <c r="L8" s="1"/>
      <c r="M8" s="1"/>
      <c r="N8" s="1"/>
      <c r="O8" s="1"/>
      <c r="P8" s="1"/>
      <c r="Q8" s="1"/>
      <c r="R8" s="1"/>
    </row>
    <row r="9">
      <c r="A9" s="1"/>
      <c r="B9" s="19" t="s">
        <v>9</v>
      </c>
      <c r="C9" s="9"/>
      <c r="D9" s="9"/>
      <c r="E9" s="9"/>
      <c r="F9" s="10"/>
      <c r="G9" s="18">
        <f>I97</f>
        <v>6.76</v>
      </c>
      <c r="H9" s="16" t="str">
        <f t="shared" si="1"/>
        <v>Aprobado</v>
      </c>
      <c r="I9" s="20">
        <v>10.0</v>
      </c>
      <c r="J9" s="1"/>
      <c r="K9" s="1"/>
      <c r="L9" s="1"/>
      <c r="M9" s="1"/>
      <c r="N9" s="1"/>
      <c r="O9" s="1"/>
      <c r="P9" s="1"/>
      <c r="Q9" s="1"/>
      <c r="R9" s="1"/>
    </row>
    <row r="10">
      <c r="A10" s="1"/>
      <c r="B10" s="19" t="s">
        <v>10</v>
      </c>
      <c r="C10" s="9"/>
      <c r="D10" s="9"/>
      <c r="E10" s="9"/>
      <c r="F10" s="10"/>
      <c r="G10" s="18">
        <f>I103</f>
        <v>5.5</v>
      </c>
      <c r="H10" s="16" t="str">
        <f t="shared" si="1"/>
        <v>Aprobado</v>
      </c>
      <c r="I10" s="20">
        <v>10.0</v>
      </c>
      <c r="J10" s="1"/>
      <c r="K10" s="1"/>
      <c r="L10" s="1"/>
      <c r="M10" s="1"/>
      <c r="N10" s="1"/>
      <c r="O10" s="1"/>
      <c r="P10" s="1"/>
      <c r="Q10" s="1"/>
      <c r="R10" s="1"/>
    </row>
    <row r="11">
      <c r="A11" s="1"/>
      <c r="B11" s="21" t="s">
        <v>11</v>
      </c>
      <c r="C11" s="9"/>
      <c r="D11" s="9"/>
      <c r="E11" s="9"/>
      <c r="F11" s="10"/>
      <c r="G11" s="22">
        <f>AVERAGE(G5:G9)</f>
        <v>6.2773125</v>
      </c>
      <c r="H11" s="16" t="str">
        <f t="shared" si="1"/>
        <v>Aprobado</v>
      </c>
      <c r="I11" s="23">
        <f>SUM(I5:I10)</f>
        <v>60</v>
      </c>
      <c r="J11" s="1"/>
      <c r="K11" s="1"/>
      <c r="L11" s="1"/>
      <c r="M11" s="1"/>
      <c r="N11" s="1"/>
      <c r="O11" s="1"/>
      <c r="P11" s="1"/>
      <c r="Q11" s="1"/>
      <c r="R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>
      <c r="A13" s="1"/>
      <c r="B13" s="24" t="s">
        <v>12</v>
      </c>
      <c r="J13" s="1"/>
      <c r="K13" s="1"/>
      <c r="L13" s="1"/>
      <c r="M13" s="1"/>
      <c r="N13" s="1"/>
      <c r="O13" s="1"/>
      <c r="Q13" s="1"/>
      <c r="R13" s="1"/>
    </row>
    <row r="14">
      <c r="P14" s="25"/>
    </row>
    <row r="15">
      <c r="B15" s="26" t="str">
        <f>B5</f>
        <v>ICS2613 Contabilidad y Control de Gestión</v>
      </c>
      <c r="C15" s="3"/>
      <c r="D15" s="3"/>
      <c r="E15" s="3"/>
      <c r="F15" s="3"/>
      <c r="G15" s="27" t="s">
        <v>13</v>
      </c>
      <c r="H15" s="28" t="s">
        <v>14</v>
      </c>
      <c r="I15" s="28" t="s">
        <v>15</v>
      </c>
    </row>
    <row r="16" collapsed="1">
      <c r="B16" s="5"/>
      <c r="C16" s="6"/>
      <c r="D16" s="6"/>
      <c r="E16" s="6"/>
      <c r="F16" s="6"/>
      <c r="G16" s="29">
        <f>I5</f>
        <v>10</v>
      </c>
      <c r="H16" s="30">
        <f>IFERROR(SUMPRODUCT(D18:D20,E18:E20)/SUMIF(E18:E20,"&gt;0",D18:D20),"")
</f>
        <v>4.995384615</v>
      </c>
      <c r="I16" s="30">
        <f>IFERROR(SUMPRODUCT(D18:D22,E18:E22)/SUMIF(E18:E22,"&gt;0",D18:D22),"")
</f>
        <v>5.401</v>
      </c>
    </row>
    <row r="17" hidden="1" outlineLevel="1">
      <c r="B17" s="31" t="s">
        <v>16</v>
      </c>
      <c r="C17" s="9"/>
      <c r="D17" s="32" t="s">
        <v>17</v>
      </c>
      <c r="E17" s="33" t="s">
        <v>18</v>
      </c>
      <c r="F17" s="31" t="s">
        <v>19</v>
      </c>
      <c r="G17" s="9"/>
      <c r="H17" s="10"/>
      <c r="I17" s="33" t="s">
        <v>18</v>
      </c>
    </row>
    <row r="18" hidden="1" outlineLevel="1">
      <c r="B18" s="34" t="s">
        <v>20</v>
      </c>
      <c r="C18" s="10"/>
      <c r="D18" s="35">
        <v>0.2</v>
      </c>
      <c r="E18" s="36">
        <v>5.29</v>
      </c>
      <c r="F18" s="37" t="s">
        <v>21</v>
      </c>
      <c r="G18" s="9"/>
      <c r="H18" s="38"/>
      <c r="I18" s="39">
        <v>4.6</v>
      </c>
    </row>
    <row r="19" hidden="1" outlineLevel="1">
      <c r="B19" s="34" t="s">
        <v>22</v>
      </c>
      <c r="C19" s="10"/>
      <c r="D19" s="35">
        <v>0.2</v>
      </c>
      <c r="E19" s="36">
        <v>4.92</v>
      </c>
      <c r="F19" s="37" t="s">
        <v>23</v>
      </c>
      <c r="G19" s="9"/>
      <c r="H19" s="38"/>
      <c r="I19" s="39">
        <v>6.0</v>
      </c>
    </row>
    <row r="20" hidden="1" outlineLevel="1">
      <c r="B20" s="37" t="s">
        <v>24</v>
      </c>
      <c r="C20" s="10"/>
      <c r="D20" s="35">
        <v>0.25</v>
      </c>
      <c r="E20" s="40">
        <v>4.82</v>
      </c>
      <c r="F20" s="37" t="s">
        <v>25</v>
      </c>
      <c r="G20" s="9"/>
      <c r="H20" s="38"/>
      <c r="I20" s="39">
        <v>1.0</v>
      </c>
    </row>
    <row r="21" hidden="1" outlineLevel="1">
      <c r="B21" s="37" t="s">
        <v>19</v>
      </c>
      <c r="C21" s="10"/>
      <c r="D21" s="35">
        <v>0.15</v>
      </c>
      <c r="E21" s="40">
        <v>5.52</v>
      </c>
      <c r="F21" s="37" t="s">
        <v>26</v>
      </c>
      <c r="G21" s="9"/>
      <c r="H21" s="41"/>
      <c r="I21" s="39">
        <v>1.0</v>
      </c>
    </row>
    <row r="22" hidden="1" outlineLevel="1">
      <c r="B22" s="37" t="s">
        <v>27</v>
      </c>
      <c r="C22" s="10"/>
      <c r="D22" s="35">
        <v>0.2</v>
      </c>
      <c r="E22" s="40">
        <f>IFERROR(AVERAGE(I29:I30)," ")</f>
        <v>6.63</v>
      </c>
      <c r="F22" s="37" t="s">
        <v>28</v>
      </c>
      <c r="G22" s="9"/>
      <c r="H22" s="41"/>
      <c r="I22" s="39">
        <v>5.0</v>
      </c>
    </row>
    <row r="23" hidden="1" outlineLevel="1">
      <c r="B23" s="42"/>
      <c r="C23" s="42"/>
      <c r="D23" s="43"/>
      <c r="E23" s="44"/>
      <c r="F23" s="37" t="s">
        <v>29</v>
      </c>
      <c r="G23" s="9"/>
      <c r="H23" s="41"/>
      <c r="I23" s="39">
        <v>1.0</v>
      </c>
    </row>
    <row r="24" hidden="1" outlineLevel="1">
      <c r="B24" s="42"/>
      <c r="C24" s="42"/>
      <c r="D24" s="43"/>
      <c r="E24" s="44"/>
      <c r="F24" s="37" t="s">
        <v>30</v>
      </c>
      <c r="G24" s="9"/>
      <c r="H24" s="41"/>
      <c r="I24" s="39">
        <v>5.0</v>
      </c>
    </row>
    <row r="25" hidden="1" outlineLevel="1">
      <c r="B25" s="42"/>
      <c r="C25" s="42"/>
      <c r="D25" s="43"/>
      <c r="E25" s="44"/>
      <c r="F25" s="37" t="s">
        <v>31</v>
      </c>
      <c r="G25" s="9"/>
      <c r="H25" s="41"/>
      <c r="I25" s="39">
        <v>5.0</v>
      </c>
    </row>
    <row r="26" hidden="1" outlineLevel="1">
      <c r="B26" s="42"/>
      <c r="C26" s="42"/>
      <c r="D26" s="43"/>
      <c r="E26" s="44"/>
      <c r="F26" s="37" t="s">
        <v>32</v>
      </c>
      <c r="G26" s="9"/>
      <c r="H26" s="41"/>
      <c r="I26" s="39">
        <v>7.0</v>
      </c>
    </row>
    <row r="27" hidden="1" outlineLevel="1">
      <c r="B27" s="42"/>
      <c r="C27" s="42"/>
      <c r="D27" s="43"/>
      <c r="E27" s="44"/>
      <c r="F27" s="37" t="s">
        <v>33</v>
      </c>
      <c r="G27" s="9"/>
      <c r="H27" s="41"/>
      <c r="I27" s="39">
        <v>4.4</v>
      </c>
    </row>
    <row r="28" hidden="1" outlineLevel="1">
      <c r="B28" s="42"/>
      <c r="C28" s="42"/>
      <c r="D28" s="43"/>
      <c r="E28" s="44"/>
      <c r="F28" s="31" t="s">
        <v>27</v>
      </c>
      <c r="G28" s="9"/>
      <c r="H28" s="10"/>
      <c r="I28" s="33" t="s">
        <v>18</v>
      </c>
    </row>
    <row r="29" hidden="1" outlineLevel="1">
      <c r="B29" s="42"/>
      <c r="C29" s="42"/>
      <c r="D29" s="43"/>
      <c r="E29" s="44"/>
      <c r="F29" s="37" t="s">
        <v>34</v>
      </c>
      <c r="G29" s="9"/>
      <c r="H29" s="10"/>
      <c r="I29" s="36">
        <v>6.76</v>
      </c>
    </row>
    <row r="30" hidden="1" outlineLevel="1">
      <c r="B30" s="42"/>
      <c r="C30" s="42"/>
      <c r="D30" s="43"/>
      <c r="E30" s="44"/>
      <c r="F30" s="37" t="s">
        <v>35</v>
      </c>
      <c r="G30" s="9"/>
      <c r="H30" s="10"/>
      <c r="I30" s="39">
        <v>6.5</v>
      </c>
    </row>
    <row r="31">
      <c r="B31" s="45"/>
      <c r="C31" s="45"/>
      <c r="I31" s="46"/>
    </row>
    <row r="32">
      <c r="B32" s="26" t="str">
        <f>B6</f>
        <v>ICS2813 Organización y Comportamiento en la Empresa</v>
      </c>
      <c r="C32" s="3"/>
      <c r="D32" s="3"/>
      <c r="E32" s="3"/>
      <c r="F32" s="3"/>
      <c r="G32" s="27" t="s">
        <v>13</v>
      </c>
      <c r="H32" s="28" t="s">
        <v>36</v>
      </c>
      <c r="I32" s="28" t="s">
        <v>37</v>
      </c>
    </row>
    <row r="33">
      <c r="B33" s="5"/>
      <c r="C33" s="6"/>
      <c r="D33" s="6"/>
      <c r="E33" s="6"/>
      <c r="F33" s="6"/>
      <c r="G33" s="29">
        <f>I6</f>
        <v>10</v>
      </c>
      <c r="H33" s="47">
        <f>SUM(E35:E38)</f>
        <v>457.3</v>
      </c>
      <c r="I33" s="30">
        <v>5.7</v>
      </c>
    </row>
    <row r="34" outlineLevel="1">
      <c r="B34" s="31" t="s">
        <v>38</v>
      </c>
      <c r="C34" s="9"/>
      <c r="D34" s="32" t="s">
        <v>39</v>
      </c>
      <c r="E34" s="33" t="s">
        <v>40</v>
      </c>
      <c r="F34" s="31" t="s">
        <v>41</v>
      </c>
      <c r="G34" s="9"/>
      <c r="H34" s="10"/>
      <c r="I34" s="33" t="s">
        <v>42</v>
      </c>
      <c r="K34" s="48"/>
      <c r="L34" s="48"/>
      <c r="M34" s="48"/>
      <c r="N34" s="48"/>
      <c r="O34" s="48"/>
      <c r="R34" s="48"/>
    </row>
    <row r="35" outlineLevel="1">
      <c r="B35" s="37" t="s">
        <v>43</v>
      </c>
      <c r="C35" s="10"/>
      <c r="D35" s="49">
        <v>260.0</v>
      </c>
      <c r="E35" s="36">
        <f>SUM(I35:I44)</f>
        <v>209.3</v>
      </c>
      <c r="F35" s="37" t="s">
        <v>44</v>
      </c>
      <c r="G35" s="9"/>
      <c r="H35" s="10"/>
      <c r="I35" s="39">
        <v>21.0</v>
      </c>
      <c r="K35" s="50"/>
      <c r="L35" s="50"/>
      <c r="M35" s="50"/>
      <c r="N35" s="51"/>
      <c r="O35" s="50"/>
      <c r="R35" s="52"/>
    </row>
    <row r="36" outlineLevel="1">
      <c r="B36" s="37" t="s">
        <v>45</v>
      </c>
      <c r="C36" s="10"/>
      <c r="D36" s="49">
        <v>120.0</v>
      </c>
      <c r="E36" s="36">
        <f>SUM(I46:I48)</f>
        <v>118</v>
      </c>
      <c r="F36" s="37" t="s">
        <v>46</v>
      </c>
      <c r="G36" s="9"/>
      <c r="H36" s="10"/>
      <c r="I36" s="39">
        <v>24.0</v>
      </c>
      <c r="K36" s="50"/>
      <c r="L36" s="50"/>
      <c r="M36" s="50"/>
      <c r="N36" s="52"/>
      <c r="O36" s="50"/>
      <c r="R36" s="52"/>
    </row>
    <row r="37" outlineLevel="1">
      <c r="B37" s="37" t="s">
        <v>47</v>
      </c>
      <c r="C37" s="10"/>
      <c r="D37" s="53" t="s">
        <v>48</v>
      </c>
      <c r="E37" s="40">
        <f>SUM(I50)</f>
        <v>39</v>
      </c>
      <c r="F37" s="37" t="s">
        <v>49</v>
      </c>
      <c r="G37" s="9"/>
      <c r="H37" s="10"/>
      <c r="I37" s="39">
        <v>20.4</v>
      </c>
      <c r="K37" s="50"/>
      <c r="L37" s="50"/>
      <c r="M37" s="50"/>
      <c r="N37" s="52"/>
      <c r="O37" s="50"/>
      <c r="R37" s="52"/>
    </row>
    <row r="38" outlineLevel="1">
      <c r="B38" s="37" t="s">
        <v>50</v>
      </c>
      <c r="C38" s="10"/>
      <c r="D38" s="49">
        <v>100.0</v>
      </c>
      <c r="E38" s="40">
        <v>91.0</v>
      </c>
      <c r="F38" s="37" t="s">
        <v>51</v>
      </c>
      <c r="G38" s="9"/>
      <c r="H38" s="10"/>
      <c r="I38" s="39">
        <v>21.5</v>
      </c>
    </row>
    <row r="39" outlineLevel="1">
      <c r="F39" s="37" t="s">
        <v>52</v>
      </c>
      <c r="G39" s="9"/>
      <c r="H39" s="10"/>
      <c r="I39" s="39">
        <v>19.0</v>
      </c>
    </row>
    <row r="40" outlineLevel="1">
      <c r="B40" s="42"/>
      <c r="C40" s="42"/>
      <c r="D40" s="54"/>
      <c r="E40" s="54"/>
      <c r="F40" s="37" t="s">
        <v>53</v>
      </c>
      <c r="G40" s="9"/>
      <c r="H40" s="10"/>
      <c r="I40" s="39">
        <v>22.0</v>
      </c>
    </row>
    <row r="41" outlineLevel="1">
      <c r="B41" s="42"/>
      <c r="C41" s="42"/>
      <c r="D41" s="54"/>
      <c r="E41" s="54"/>
      <c r="F41" s="37" t="s">
        <v>54</v>
      </c>
      <c r="G41" s="9"/>
      <c r="H41" s="10"/>
      <c r="I41" s="39">
        <v>22.9</v>
      </c>
    </row>
    <row r="42" outlineLevel="1">
      <c r="B42" s="42"/>
      <c r="C42" s="42"/>
      <c r="D42" s="54"/>
      <c r="E42" s="54"/>
      <c r="F42" s="37" t="s">
        <v>55</v>
      </c>
      <c r="G42" s="9"/>
      <c r="H42" s="10"/>
      <c r="I42" s="39">
        <v>24.5</v>
      </c>
    </row>
    <row r="43" outlineLevel="1">
      <c r="B43" s="42"/>
      <c r="C43" s="42"/>
      <c r="D43" s="54"/>
      <c r="E43" s="54"/>
      <c r="F43" s="37" t="s">
        <v>56</v>
      </c>
      <c r="G43" s="9"/>
      <c r="H43" s="10"/>
      <c r="I43" s="39">
        <v>17.0</v>
      </c>
    </row>
    <row r="44" outlineLevel="1">
      <c r="B44" s="55"/>
      <c r="C44" s="55"/>
      <c r="D44" s="55"/>
      <c r="E44" s="55"/>
      <c r="F44" s="37" t="s">
        <v>57</v>
      </c>
      <c r="G44" s="9"/>
      <c r="H44" s="10"/>
      <c r="I44" s="39">
        <v>17.0</v>
      </c>
    </row>
    <row r="45" outlineLevel="1">
      <c r="B45" s="55"/>
      <c r="C45" s="55"/>
      <c r="D45" s="55"/>
      <c r="E45" s="55"/>
      <c r="F45" s="31" t="s">
        <v>58</v>
      </c>
      <c r="G45" s="9"/>
      <c r="H45" s="10"/>
      <c r="I45" s="33" t="s">
        <v>59</v>
      </c>
    </row>
    <row r="46" outlineLevel="1">
      <c r="B46" s="55"/>
      <c r="C46" s="55"/>
      <c r="D46" s="55"/>
      <c r="E46" s="55"/>
      <c r="F46" s="37" t="s">
        <v>60</v>
      </c>
      <c r="G46" s="9"/>
      <c r="H46" s="10"/>
      <c r="I46" s="56">
        <v>30.0</v>
      </c>
    </row>
    <row r="47" outlineLevel="1">
      <c r="B47" s="55"/>
      <c r="C47" s="55"/>
      <c r="D47" s="55"/>
      <c r="E47" s="55"/>
      <c r="F47" s="37" t="s">
        <v>61</v>
      </c>
      <c r="G47" s="9"/>
      <c r="H47" s="10"/>
      <c r="I47" s="39">
        <v>29.5</v>
      </c>
    </row>
    <row r="48" outlineLevel="1">
      <c r="B48" s="55"/>
      <c r="C48" s="55"/>
      <c r="D48" s="55"/>
      <c r="E48" s="55"/>
      <c r="F48" s="37" t="s">
        <v>62</v>
      </c>
      <c r="G48" s="9"/>
      <c r="H48" s="10"/>
      <c r="I48" s="39">
        <v>58.5</v>
      </c>
    </row>
    <row r="49" outlineLevel="1">
      <c r="B49" s="55"/>
      <c r="C49" s="55"/>
      <c r="D49" s="55"/>
      <c r="E49" s="55"/>
      <c r="F49" s="31" t="s">
        <v>63</v>
      </c>
      <c r="G49" s="9"/>
      <c r="H49" s="10"/>
      <c r="I49" s="33" t="s">
        <v>64</v>
      </c>
    </row>
    <row r="50" outlineLevel="1">
      <c r="B50" s="55"/>
      <c r="C50" s="55"/>
      <c r="D50" s="55"/>
      <c r="E50" s="55"/>
      <c r="F50" s="37" t="s">
        <v>65</v>
      </c>
      <c r="G50" s="9"/>
      <c r="H50" s="10"/>
      <c r="I50" s="39">
        <v>39.0</v>
      </c>
    </row>
    <row r="51">
      <c r="B51" s="55"/>
      <c r="C51" s="55"/>
      <c r="D51" s="55"/>
      <c r="E51" s="55"/>
      <c r="F51" s="55"/>
      <c r="G51" s="55"/>
      <c r="H51" s="55"/>
      <c r="I51" s="55"/>
    </row>
    <row r="52">
      <c r="B52" s="26" t="str">
        <f>B7</f>
        <v>IIC2433 Minería de Datos</v>
      </c>
      <c r="C52" s="3"/>
      <c r="D52" s="3"/>
      <c r="E52" s="3"/>
      <c r="F52" s="3"/>
      <c r="G52" s="3"/>
      <c r="H52" s="27" t="s">
        <v>13</v>
      </c>
      <c r="I52" s="28" t="s">
        <v>66</v>
      </c>
    </row>
    <row r="53" collapsed="1">
      <c r="B53" s="5"/>
      <c r="C53" s="6"/>
      <c r="D53" s="6"/>
      <c r="E53" s="6"/>
      <c r="F53" s="6"/>
      <c r="G53" s="6"/>
      <c r="H53" s="29">
        <f>I7</f>
        <v>10</v>
      </c>
      <c r="I53" s="30">
        <f>IFERROR(SUMPRODUCT(D55:D56,E55:E56)/SUMIF(E55:E56,"&gt;0",D55:D56),"")
</f>
        <v>6.901</v>
      </c>
    </row>
    <row r="54" hidden="1" outlineLevel="1">
      <c r="B54" s="31" t="s">
        <v>16</v>
      </c>
      <c r="C54" s="9"/>
      <c r="D54" s="32" t="s">
        <v>17</v>
      </c>
      <c r="E54" s="33" t="s">
        <v>18</v>
      </c>
      <c r="F54" s="31" t="s">
        <v>67</v>
      </c>
      <c r="G54" s="9"/>
      <c r="H54" s="10"/>
      <c r="I54" s="33" t="s">
        <v>18</v>
      </c>
    </row>
    <row r="55" hidden="1" outlineLevel="1">
      <c r="B55" s="37" t="s">
        <v>68</v>
      </c>
      <c r="C55" s="10"/>
      <c r="D55" s="35">
        <v>0.4</v>
      </c>
      <c r="E55" s="36">
        <f>IFERROR(AVERAGE(I55:I57)," ")</f>
        <v>7</v>
      </c>
      <c r="F55" s="37" t="s">
        <v>69</v>
      </c>
      <c r="G55" s="9"/>
      <c r="H55" s="10"/>
      <c r="I55" s="39">
        <v>7.0</v>
      </c>
    </row>
    <row r="56" hidden="1" outlineLevel="1">
      <c r="B56" s="57" t="s">
        <v>70</v>
      </c>
      <c r="C56" s="4"/>
      <c r="D56" s="58">
        <v>0.6</v>
      </c>
      <c r="E56" s="59">
        <f>IFERROR(SUMPRODUCT(H59:H61,I59:I61)/SUMIF(I59:I61,"&gt;0",H59:H61),"")
</f>
        <v>6.835</v>
      </c>
      <c r="F56" s="37" t="s">
        <v>71</v>
      </c>
      <c r="G56" s="9"/>
      <c r="H56" s="10"/>
      <c r="I56" s="39">
        <v>7.0</v>
      </c>
    </row>
    <row r="57" hidden="1" outlineLevel="1">
      <c r="B57" s="60"/>
      <c r="C57" s="3"/>
      <c r="D57" s="61"/>
      <c r="E57" s="62"/>
      <c r="F57" s="63" t="s">
        <v>72</v>
      </c>
      <c r="G57" s="9"/>
      <c r="H57" s="10"/>
      <c r="I57" s="36">
        <v>7.0</v>
      </c>
    </row>
    <row r="58" hidden="1" outlineLevel="1">
      <c r="B58" s="42"/>
      <c r="C58" s="42"/>
      <c r="D58" s="43"/>
      <c r="E58" s="44"/>
      <c r="F58" s="31" t="s">
        <v>73</v>
      </c>
      <c r="G58" s="9"/>
      <c r="H58" s="10"/>
      <c r="I58" s="33" t="s">
        <v>18</v>
      </c>
    </row>
    <row r="59" hidden="1" outlineLevel="1">
      <c r="B59" s="42"/>
      <c r="C59" s="42"/>
      <c r="D59" s="43"/>
      <c r="E59" s="44"/>
      <c r="F59" s="37" t="s">
        <v>74</v>
      </c>
      <c r="G59" s="10"/>
      <c r="H59" s="35">
        <v>0.1</v>
      </c>
      <c r="I59" s="64">
        <v>6.45</v>
      </c>
    </row>
    <row r="60" hidden="1" outlineLevel="1">
      <c r="B60" s="42"/>
      <c r="C60" s="42"/>
      <c r="D60" s="43"/>
      <c r="E60" s="44"/>
      <c r="F60" s="37" t="s">
        <v>75</v>
      </c>
      <c r="G60" s="10"/>
      <c r="H60" s="35">
        <v>0.2</v>
      </c>
      <c r="I60" s="64">
        <v>6.8</v>
      </c>
    </row>
    <row r="61" hidden="1" outlineLevel="1">
      <c r="B61" s="42"/>
      <c r="C61" s="42"/>
      <c r="D61" s="43"/>
      <c r="E61" s="44"/>
      <c r="F61" s="37" t="s">
        <v>76</v>
      </c>
      <c r="G61" s="10"/>
      <c r="H61" s="35">
        <v>0.7</v>
      </c>
      <c r="I61" s="64">
        <v>6.9</v>
      </c>
    </row>
    <row r="62">
      <c r="B62" s="55"/>
      <c r="C62" s="55"/>
      <c r="D62" s="55"/>
      <c r="E62" s="55"/>
      <c r="F62" s="55"/>
      <c r="G62" s="55"/>
      <c r="H62" s="55"/>
      <c r="I62" s="55"/>
    </row>
    <row r="63">
      <c r="A63" s="65"/>
      <c r="B63" s="26" t="str">
        <f>B8</f>
        <v>IIC100G En Búsqueda del Bienestar: ¿Qué Nos Dice la Ciencia?</v>
      </c>
      <c r="C63" s="3"/>
      <c r="D63" s="3"/>
      <c r="E63" s="3"/>
      <c r="F63" s="3"/>
      <c r="G63" s="3"/>
      <c r="H63" s="27" t="s">
        <v>13</v>
      </c>
      <c r="I63" s="28" t="s">
        <v>37</v>
      </c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</row>
    <row r="64">
      <c r="B64" s="5"/>
      <c r="C64" s="6"/>
      <c r="D64" s="6"/>
      <c r="E64" s="6"/>
      <c r="F64" s="6"/>
      <c r="G64" s="6"/>
      <c r="H64" s="29">
        <f>I8</f>
        <v>10</v>
      </c>
      <c r="I64" s="30">
        <f>IFERROR(SUMPRODUCT(D66:D68,E66:E68)/SUMIF(E66:E68,"&gt;0",D66:D68),"")
</f>
        <v>6.6245625</v>
      </c>
    </row>
    <row r="65" outlineLevel="1">
      <c r="B65" s="31" t="s">
        <v>16</v>
      </c>
      <c r="C65" s="9"/>
      <c r="D65" s="32" t="s">
        <v>17</v>
      </c>
      <c r="E65" s="33" t="s">
        <v>18</v>
      </c>
      <c r="F65" s="31" t="s">
        <v>67</v>
      </c>
      <c r="G65" s="9"/>
      <c r="H65" s="10"/>
      <c r="I65" s="33" t="s">
        <v>18</v>
      </c>
    </row>
    <row r="66" outlineLevel="1">
      <c r="B66" s="37" t="s">
        <v>77</v>
      </c>
      <c r="C66" s="10"/>
      <c r="D66" s="35">
        <v>0.25</v>
      </c>
      <c r="E66" s="36">
        <f t="array" ref="E66">IF(COUNT(I72:I83)&lt;3, "", (SUM(I72:I83)-SUMPRODUCT(SMALL(I72:I83, {1;2}))) / (COUNT(I72:I83)-2))</f>
        <v>6.528</v>
      </c>
      <c r="F66" s="37" t="s">
        <v>69</v>
      </c>
      <c r="G66" s="9"/>
      <c r="H66" s="10"/>
      <c r="I66" s="39">
        <v>6.0</v>
      </c>
    </row>
    <row r="67" outlineLevel="1">
      <c r="B67" s="37" t="s">
        <v>78</v>
      </c>
      <c r="C67" s="10"/>
      <c r="D67" s="35">
        <v>0.15</v>
      </c>
      <c r="E67" s="36">
        <f t="array" ref="E67">IF(COUNT(I85:I94)&lt;3, "", (SUM(I85:I94)-SUMPRODUCT(SMALL(I85:I94, {1;2}))) / (COUNT(I85:I94)-2))</f>
        <v>6.56375</v>
      </c>
      <c r="F67" s="37" t="s">
        <v>71</v>
      </c>
      <c r="G67" s="9"/>
      <c r="H67" s="10"/>
      <c r="I67" s="39">
        <v>6.4</v>
      </c>
    </row>
    <row r="68" outlineLevel="1">
      <c r="B68" s="37" t="s">
        <v>79</v>
      </c>
      <c r="C68" s="10"/>
      <c r="D68" s="35">
        <v>0.6</v>
      </c>
      <c r="E68" s="40">
        <f>IFERROR(AVERAGE(I66:I70)," ")</f>
        <v>6.68</v>
      </c>
      <c r="F68" s="37" t="s">
        <v>72</v>
      </c>
      <c r="G68" s="9"/>
      <c r="H68" s="10"/>
      <c r="I68" s="36">
        <v>7.0</v>
      </c>
    </row>
    <row r="69" outlineLevel="1">
      <c r="B69" s="42"/>
      <c r="C69" s="42"/>
      <c r="D69" s="42"/>
      <c r="E69" s="42"/>
      <c r="F69" s="37" t="s">
        <v>80</v>
      </c>
      <c r="G69" s="9"/>
      <c r="H69" s="10"/>
      <c r="I69" s="36">
        <v>7.0</v>
      </c>
    </row>
    <row r="70" outlineLevel="1">
      <c r="B70" s="42"/>
      <c r="C70" s="42"/>
      <c r="D70" s="43"/>
      <c r="E70" s="44"/>
      <c r="F70" s="37" t="s">
        <v>81</v>
      </c>
      <c r="G70" s="9"/>
      <c r="H70" s="10"/>
      <c r="I70" s="36">
        <v>7.0</v>
      </c>
    </row>
    <row r="71" outlineLevel="1">
      <c r="B71" s="42"/>
      <c r="C71" s="42"/>
      <c r="D71" s="43"/>
      <c r="E71" s="44"/>
      <c r="F71" s="31" t="s">
        <v>82</v>
      </c>
      <c r="G71" s="9"/>
      <c r="H71" s="10"/>
      <c r="I71" s="33" t="s">
        <v>18</v>
      </c>
    </row>
    <row r="72" outlineLevel="1">
      <c r="B72" s="42"/>
      <c r="C72" s="42"/>
      <c r="D72" s="43"/>
      <c r="E72" s="44"/>
      <c r="F72" s="37" t="s">
        <v>83</v>
      </c>
      <c r="G72" s="9"/>
      <c r="H72" s="10"/>
      <c r="I72" s="36">
        <v>7.0</v>
      </c>
    </row>
    <row r="73" outlineLevel="1">
      <c r="B73" s="42"/>
      <c r="C73" s="42"/>
      <c r="D73" s="43"/>
      <c r="E73" s="44"/>
      <c r="F73" s="37" t="s">
        <v>84</v>
      </c>
      <c r="G73" s="9"/>
      <c r="H73" s="10"/>
      <c r="I73" s="36">
        <v>6.25</v>
      </c>
    </row>
    <row r="74" outlineLevel="1">
      <c r="B74" s="42"/>
      <c r="C74" s="42"/>
      <c r="D74" s="43"/>
      <c r="E74" s="44"/>
      <c r="F74" s="37" t="s">
        <v>85</v>
      </c>
      <c r="G74" s="9"/>
      <c r="H74" s="10"/>
      <c r="I74" s="36">
        <v>7.0</v>
      </c>
    </row>
    <row r="75" outlineLevel="1">
      <c r="B75" s="42"/>
      <c r="C75" s="42"/>
      <c r="D75" s="43"/>
      <c r="E75" s="44"/>
      <c r="F75" s="37" t="s">
        <v>86</v>
      </c>
      <c r="G75" s="9"/>
      <c r="H75" s="10"/>
      <c r="I75" s="36">
        <v>5.5</v>
      </c>
    </row>
    <row r="76" outlineLevel="1">
      <c r="B76" s="42"/>
      <c r="C76" s="42"/>
      <c r="D76" s="43"/>
      <c r="E76" s="44"/>
      <c r="F76" s="37" t="s">
        <v>87</v>
      </c>
      <c r="G76" s="9"/>
      <c r="H76" s="10"/>
      <c r="I76" s="36">
        <v>7.0</v>
      </c>
    </row>
    <row r="77" outlineLevel="1">
      <c r="B77" s="42"/>
      <c r="C77" s="42"/>
      <c r="D77" s="43"/>
      <c r="E77" s="44"/>
      <c r="F77" s="37" t="s">
        <v>88</v>
      </c>
      <c r="G77" s="9"/>
      <c r="H77" s="10"/>
      <c r="I77" s="36">
        <v>5.5</v>
      </c>
    </row>
    <row r="78" outlineLevel="1">
      <c r="B78" s="42"/>
      <c r="C78" s="42"/>
      <c r="D78" s="43"/>
      <c r="E78" s="44"/>
      <c r="F78" s="37" t="s">
        <v>89</v>
      </c>
      <c r="G78" s="9"/>
      <c r="H78" s="10"/>
      <c r="I78" s="36">
        <v>6.4</v>
      </c>
    </row>
    <row r="79" outlineLevel="1">
      <c r="B79" s="42"/>
      <c r="C79" s="42"/>
      <c r="D79" s="43"/>
      <c r="E79" s="44"/>
      <c r="F79" s="37" t="s">
        <v>90</v>
      </c>
      <c r="G79" s="9"/>
      <c r="H79" s="10"/>
      <c r="I79" s="36">
        <v>5.88</v>
      </c>
    </row>
    <row r="80" outlineLevel="1">
      <c r="B80" s="42"/>
      <c r="C80" s="42"/>
      <c r="D80" s="43"/>
      <c r="E80" s="44"/>
      <c r="F80" s="37" t="s">
        <v>91</v>
      </c>
      <c r="G80" s="9"/>
      <c r="H80" s="10"/>
      <c r="I80" s="36">
        <v>7.0</v>
      </c>
    </row>
    <row r="81" outlineLevel="1">
      <c r="B81" s="42"/>
      <c r="C81" s="42"/>
      <c r="D81" s="43"/>
      <c r="E81" s="44"/>
      <c r="F81" s="37" t="s">
        <v>92</v>
      </c>
      <c r="G81" s="9"/>
      <c r="H81" s="10"/>
      <c r="I81" s="36">
        <v>7.0</v>
      </c>
    </row>
    <row r="82" outlineLevel="1">
      <c r="B82" s="42"/>
      <c r="C82" s="42"/>
      <c r="D82" s="43"/>
      <c r="E82" s="44"/>
      <c r="F82" s="37" t="s">
        <v>93</v>
      </c>
      <c r="G82" s="9"/>
      <c r="H82" s="10"/>
      <c r="I82" s="36">
        <v>1.0</v>
      </c>
    </row>
    <row r="83" outlineLevel="1">
      <c r="B83" s="42"/>
      <c r="C83" s="42"/>
      <c r="D83" s="43"/>
      <c r="E83" s="44"/>
      <c r="F83" s="37" t="s">
        <v>94</v>
      </c>
      <c r="G83" s="9"/>
      <c r="H83" s="10"/>
      <c r="I83" s="36">
        <v>6.25</v>
      </c>
    </row>
    <row r="84" outlineLevel="1">
      <c r="B84" s="42"/>
      <c r="C84" s="42"/>
      <c r="D84" s="43"/>
      <c r="E84" s="44"/>
      <c r="F84" s="31" t="s">
        <v>95</v>
      </c>
      <c r="G84" s="9"/>
      <c r="H84" s="10"/>
      <c r="I84" s="33" t="s">
        <v>18</v>
      </c>
    </row>
    <row r="85" outlineLevel="1">
      <c r="B85" s="42"/>
      <c r="C85" s="42"/>
      <c r="D85" s="43"/>
      <c r="E85" s="44"/>
      <c r="F85" s="37" t="s">
        <v>96</v>
      </c>
      <c r="G85" s="9"/>
      <c r="H85" s="10"/>
      <c r="I85" s="66">
        <v>7.0</v>
      </c>
    </row>
    <row r="86" outlineLevel="1">
      <c r="B86" s="42"/>
      <c r="C86" s="42"/>
      <c r="D86" s="43"/>
      <c r="E86" s="44"/>
      <c r="F86" s="37" t="s">
        <v>97</v>
      </c>
      <c r="G86" s="9"/>
      <c r="H86" s="10"/>
      <c r="I86" s="66">
        <v>1.0</v>
      </c>
    </row>
    <row r="87" outlineLevel="1">
      <c r="B87" s="42"/>
      <c r="C87" s="42"/>
      <c r="D87" s="43"/>
      <c r="E87" s="44"/>
      <c r="F87" s="37" t="s">
        <v>98</v>
      </c>
      <c r="G87" s="9"/>
      <c r="H87" s="10"/>
      <c r="I87" s="66">
        <v>7.0</v>
      </c>
    </row>
    <row r="88" outlineLevel="1">
      <c r="B88" s="42"/>
      <c r="C88" s="42"/>
      <c r="D88" s="43"/>
      <c r="E88" s="44"/>
      <c r="F88" s="37" t="s">
        <v>99</v>
      </c>
      <c r="G88" s="9"/>
      <c r="H88" s="10"/>
      <c r="I88" s="36">
        <v>6.51</v>
      </c>
    </row>
    <row r="89" outlineLevel="1">
      <c r="B89" s="42"/>
      <c r="C89" s="42"/>
      <c r="D89" s="43"/>
      <c r="E89" s="44"/>
      <c r="F89" s="37" t="s">
        <v>100</v>
      </c>
      <c r="G89" s="9"/>
      <c r="H89" s="10"/>
      <c r="I89" s="36">
        <v>4.0</v>
      </c>
    </row>
    <row r="90" outlineLevel="1">
      <c r="B90" s="42"/>
      <c r="C90" s="42"/>
      <c r="D90" s="43"/>
      <c r="E90" s="44"/>
      <c r="F90" s="37" t="s">
        <v>101</v>
      </c>
      <c r="G90" s="9"/>
      <c r="H90" s="10"/>
      <c r="I90" s="36">
        <v>7.0</v>
      </c>
    </row>
    <row r="91" outlineLevel="1">
      <c r="B91" s="42"/>
      <c r="C91" s="42"/>
      <c r="D91" s="43"/>
      <c r="E91" s="44"/>
      <c r="F91" s="37" t="s">
        <v>102</v>
      </c>
      <c r="G91" s="9"/>
      <c r="H91" s="10"/>
      <c r="I91" s="36">
        <v>7.0</v>
      </c>
    </row>
    <row r="92" outlineLevel="1">
      <c r="B92" s="42"/>
      <c r="C92" s="42"/>
      <c r="D92" s="43"/>
      <c r="E92" s="44"/>
      <c r="F92" s="37" t="s">
        <v>103</v>
      </c>
      <c r="G92" s="9"/>
      <c r="H92" s="10"/>
      <c r="I92" s="36">
        <v>7.0</v>
      </c>
    </row>
    <row r="93" outlineLevel="1">
      <c r="B93" s="42"/>
      <c r="C93" s="42"/>
      <c r="D93" s="43"/>
      <c r="E93" s="44"/>
      <c r="F93" s="37" t="s">
        <v>104</v>
      </c>
      <c r="G93" s="9"/>
      <c r="H93" s="10"/>
      <c r="I93" s="36">
        <v>7.0</v>
      </c>
    </row>
    <row r="94" outlineLevel="1">
      <c r="B94" s="42"/>
      <c r="C94" s="42"/>
      <c r="D94" s="43"/>
      <c r="E94" s="44"/>
      <c r="F94" s="37" t="s">
        <v>105</v>
      </c>
      <c r="G94" s="9"/>
      <c r="H94" s="10"/>
      <c r="I94" s="36">
        <v>1.0</v>
      </c>
    </row>
    <row r="95">
      <c r="B95" s="55"/>
      <c r="C95" s="55"/>
      <c r="D95" s="55"/>
      <c r="E95" s="55"/>
      <c r="F95" s="55"/>
      <c r="G95" s="55"/>
      <c r="H95" s="55"/>
      <c r="I95" s="55"/>
    </row>
    <row r="96">
      <c r="B96" s="26" t="str">
        <f>B9</f>
        <v>DER115E Cultura y Entretenimiento: Un Enfoque Jurídico</v>
      </c>
      <c r="C96" s="3"/>
      <c r="D96" s="3"/>
      <c r="E96" s="3"/>
      <c r="F96" s="3"/>
      <c r="G96" s="28" t="s">
        <v>106</v>
      </c>
      <c r="H96" s="27" t="s">
        <v>13</v>
      </c>
      <c r="I96" s="28" t="s">
        <v>107</v>
      </c>
    </row>
    <row r="97" collapsed="1">
      <c r="B97" s="5"/>
      <c r="C97" s="6"/>
      <c r="D97" s="6"/>
      <c r="E97" s="6"/>
      <c r="F97" s="6"/>
      <c r="G97" s="67" t="s">
        <v>108</v>
      </c>
      <c r="H97" s="68">
        <f>I9</f>
        <v>10</v>
      </c>
      <c r="I97" s="69">
        <f>IFERROR(SUMPRODUCT(H99:H100,I99:I100)/SUMIF(I99:I100,"&gt;0",H99:H100),"")
</f>
        <v>6.76</v>
      </c>
    </row>
    <row r="98" hidden="1" outlineLevel="1">
      <c r="B98" s="31" t="s">
        <v>16</v>
      </c>
      <c r="C98" s="9"/>
      <c r="D98" s="9"/>
      <c r="E98" s="9"/>
      <c r="F98" s="9"/>
      <c r="G98" s="9"/>
      <c r="H98" s="32" t="s">
        <v>17</v>
      </c>
      <c r="I98" s="33" t="s">
        <v>18</v>
      </c>
    </row>
    <row r="99" hidden="1" outlineLevel="1">
      <c r="B99" s="37" t="s">
        <v>109</v>
      </c>
      <c r="C99" s="9"/>
      <c r="D99" s="9"/>
      <c r="E99" s="9"/>
      <c r="F99" s="9"/>
      <c r="G99" s="10"/>
      <c r="H99" s="35">
        <v>0.4</v>
      </c>
      <c r="I99" s="36">
        <v>6.4</v>
      </c>
    </row>
    <row r="100" hidden="1" outlineLevel="1">
      <c r="B100" s="37" t="s">
        <v>110</v>
      </c>
      <c r="C100" s="9"/>
      <c r="D100" s="9"/>
      <c r="E100" s="9"/>
      <c r="F100" s="9"/>
      <c r="G100" s="10"/>
      <c r="H100" s="35">
        <v>0.6</v>
      </c>
      <c r="I100" s="70">
        <v>7.0</v>
      </c>
    </row>
    <row r="101">
      <c r="B101" s="55"/>
      <c r="C101" s="55"/>
      <c r="D101" s="55"/>
      <c r="E101" s="55"/>
      <c r="F101" s="55"/>
      <c r="G101" s="55"/>
      <c r="H101" s="55"/>
      <c r="I101" s="55"/>
    </row>
    <row r="102">
      <c r="B102" s="26" t="str">
        <f>B10</f>
        <v>ING2030 Investigación, Innovación y Emprendimiento</v>
      </c>
      <c r="C102" s="3"/>
      <c r="D102" s="3"/>
      <c r="E102" s="3"/>
      <c r="F102" s="27" t="s">
        <v>13</v>
      </c>
      <c r="G102" s="28" t="s">
        <v>111</v>
      </c>
      <c r="H102" s="28" t="s">
        <v>112</v>
      </c>
      <c r="I102" s="28" t="s">
        <v>107</v>
      </c>
    </row>
    <row r="103" collapsed="1">
      <c r="B103" s="5"/>
      <c r="C103" s="6"/>
      <c r="D103" s="6"/>
      <c r="E103" s="6"/>
      <c r="F103" s="71">
        <f>I10</f>
        <v>10</v>
      </c>
      <c r="G103" s="29">
        <f>IFERROR(SUMPRODUCT(H105:H109,I105:I109)/SUMIF(I105:I109,"&gt;0",H105:H109),"")
</f>
        <v>5.49</v>
      </c>
      <c r="H103" s="72">
        <v>1.0</v>
      </c>
      <c r="I103" s="30">
        <v>5.5</v>
      </c>
    </row>
    <row r="104" hidden="1" outlineLevel="1">
      <c r="B104" s="31" t="s">
        <v>16</v>
      </c>
      <c r="C104" s="9"/>
      <c r="D104" s="9"/>
      <c r="E104" s="9"/>
      <c r="F104" s="9"/>
      <c r="G104" s="10"/>
      <c r="H104" s="32" t="s">
        <v>17</v>
      </c>
      <c r="I104" s="33" t="s">
        <v>18</v>
      </c>
    </row>
    <row r="105" hidden="1" outlineLevel="1">
      <c r="B105" s="37" t="s">
        <v>113</v>
      </c>
      <c r="C105" s="9"/>
      <c r="D105" s="9"/>
      <c r="E105" s="9"/>
      <c r="F105" s="9"/>
      <c r="G105" s="10"/>
      <c r="H105" s="35">
        <v>0.15</v>
      </c>
      <c r="I105" s="36">
        <v>5.1</v>
      </c>
    </row>
    <row r="106" hidden="1" outlineLevel="1">
      <c r="B106" s="37" t="s">
        <v>114</v>
      </c>
      <c r="C106" s="9"/>
      <c r="D106" s="9"/>
      <c r="E106" s="9"/>
      <c r="F106" s="9"/>
      <c r="G106" s="10"/>
      <c r="H106" s="35">
        <v>0.2</v>
      </c>
      <c r="I106" s="36" t="s">
        <v>115</v>
      </c>
    </row>
    <row r="107" hidden="1" outlineLevel="1">
      <c r="B107" s="37" t="s">
        <v>116</v>
      </c>
      <c r="C107" s="9"/>
      <c r="D107" s="9"/>
      <c r="E107" s="9"/>
      <c r="F107" s="9"/>
      <c r="G107" s="10"/>
      <c r="H107" s="35">
        <v>0.15</v>
      </c>
      <c r="I107" s="40">
        <v>5.7</v>
      </c>
    </row>
    <row r="108" hidden="1" outlineLevel="1">
      <c r="B108" s="37" t="s">
        <v>117</v>
      </c>
      <c r="C108" s="9"/>
      <c r="D108" s="9"/>
      <c r="E108" s="9"/>
      <c r="F108" s="9"/>
      <c r="G108" s="10"/>
      <c r="H108" s="35">
        <v>0.4</v>
      </c>
      <c r="I108" s="40">
        <v>5.18</v>
      </c>
    </row>
    <row r="109" hidden="1" outlineLevel="1">
      <c r="B109" s="37" t="s">
        <v>118</v>
      </c>
      <c r="C109" s="9"/>
      <c r="D109" s="9"/>
      <c r="E109" s="9"/>
      <c r="F109" s="9"/>
      <c r="G109" s="10"/>
      <c r="H109" s="35">
        <v>0.1</v>
      </c>
      <c r="I109" s="40">
        <v>7.0</v>
      </c>
    </row>
    <row r="110">
      <c r="B110" s="55"/>
      <c r="C110" s="55"/>
      <c r="D110" s="55"/>
      <c r="E110" s="55"/>
      <c r="F110" s="55"/>
      <c r="G110" s="55"/>
      <c r="H110" s="55"/>
      <c r="I110" s="55"/>
    </row>
    <row r="111">
      <c r="B111" s="55"/>
      <c r="C111" s="55"/>
      <c r="D111" s="55"/>
      <c r="E111" s="55"/>
      <c r="F111" s="55"/>
      <c r="G111" s="55"/>
      <c r="H111" s="55"/>
      <c r="I111" s="55"/>
    </row>
    <row r="112">
      <c r="B112" s="55"/>
      <c r="C112" s="55"/>
      <c r="D112" s="55"/>
      <c r="E112" s="55"/>
      <c r="F112" s="55"/>
      <c r="G112" s="55"/>
      <c r="H112" s="55"/>
      <c r="I112" s="55"/>
    </row>
    <row r="113">
      <c r="B113" s="55"/>
      <c r="C113" s="55"/>
      <c r="D113" s="55"/>
      <c r="E113" s="55"/>
      <c r="F113" s="55"/>
      <c r="G113" s="55"/>
      <c r="H113" s="55"/>
      <c r="I113" s="55"/>
    </row>
    <row r="114">
      <c r="B114" s="55"/>
      <c r="C114" s="55"/>
      <c r="D114" s="55"/>
      <c r="E114" s="55"/>
      <c r="F114" s="55"/>
      <c r="G114" s="55"/>
      <c r="H114" s="55"/>
      <c r="I114" s="55"/>
    </row>
    <row r="115">
      <c r="B115" s="55"/>
      <c r="C115" s="55"/>
      <c r="D115" s="55"/>
      <c r="E115" s="55"/>
      <c r="F115" s="55"/>
      <c r="G115" s="55"/>
      <c r="H115" s="55"/>
      <c r="I115" s="55"/>
    </row>
    <row r="116">
      <c r="B116" s="55"/>
      <c r="C116" s="55"/>
      <c r="D116" s="55"/>
      <c r="E116" s="55"/>
      <c r="F116" s="55"/>
      <c r="G116" s="55"/>
      <c r="H116" s="55"/>
      <c r="I116" s="55"/>
    </row>
    <row r="117">
      <c r="B117" s="55"/>
      <c r="C117" s="55"/>
      <c r="D117" s="55"/>
      <c r="E117" s="55"/>
      <c r="F117" s="55"/>
      <c r="G117" s="55"/>
      <c r="H117" s="55"/>
      <c r="I117" s="55"/>
    </row>
    <row r="118">
      <c r="B118" s="55"/>
      <c r="C118" s="55"/>
      <c r="D118" s="55"/>
      <c r="E118" s="55"/>
      <c r="F118" s="55"/>
      <c r="G118" s="55"/>
      <c r="H118" s="55"/>
      <c r="I118" s="55"/>
    </row>
    <row r="119">
      <c r="B119" s="55"/>
      <c r="C119" s="55"/>
      <c r="D119" s="55"/>
      <c r="E119" s="55"/>
      <c r="F119" s="55"/>
      <c r="G119" s="55"/>
      <c r="H119" s="55"/>
      <c r="I119" s="55"/>
    </row>
    <row r="120">
      <c r="B120" s="55"/>
      <c r="C120" s="55"/>
      <c r="D120" s="55"/>
      <c r="E120" s="55"/>
      <c r="F120" s="55"/>
      <c r="G120" s="55"/>
      <c r="H120" s="55"/>
      <c r="I120" s="55"/>
    </row>
    <row r="121">
      <c r="B121" s="55"/>
      <c r="C121" s="55"/>
      <c r="D121" s="55"/>
      <c r="E121" s="55"/>
      <c r="F121" s="55"/>
      <c r="G121" s="55"/>
      <c r="H121" s="55"/>
      <c r="I121" s="55"/>
    </row>
    <row r="122">
      <c r="B122" s="55"/>
      <c r="C122" s="55"/>
      <c r="D122" s="55"/>
      <c r="E122" s="55"/>
      <c r="F122" s="55"/>
      <c r="G122" s="55"/>
      <c r="H122" s="55"/>
      <c r="I122" s="55"/>
    </row>
    <row r="123">
      <c r="B123" s="55"/>
      <c r="C123" s="55"/>
      <c r="D123" s="55"/>
      <c r="E123" s="55"/>
      <c r="F123" s="55"/>
      <c r="G123" s="55"/>
      <c r="H123" s="55"/>
      <c r="I123" s="55"/>
    </row>
    <row r="124">
      <c r="B124" s="55"/>
      <c r="C124" s="55"/>
      <c r="D124" s="55"/>
      <c r="E124" s="55"/>
      <c r="F124" s="55"/>
      <c r="G124" s="55"/>
      <c r="H124" s="55"/>
      <c r="I124" s="55"/>
    </row>
    <row r="125">
      <c r="B125" s="55"/>
      <c r="C125" s="55"/>
      <c r="D125" s="55"/>
      <c r="E125" s="55"/>
      <c r="F125" s="55"/>
      <c r="G125" s="55"/>
      <c r="H125" s="55"/>
      <c r="I125" s="55"/>
    </row>
    <row r="126">
      <c r="B126" s="55"/>
      <c r="C126" s="55"/>
      <c r="D126" s="55"/>
      <c r="E126" s="55"/>
      <c r="F126" s="55"/>
      <c r="G126" s="55"/>
      <c r="H126" s="55"/>
      <c r="I126" s="55"/>
    </row>
  </sheetData>
  <mergeCells count="117">
    <mergeCell ref="B35:C35"/>
    <mergeCell ref="F35:H35"/>
    <mergeCell ref="O35:Q35"/>
    <mergeCell ref="B36:C36"/>
    <mergeCell ref="F36:H36"/>
    <mergeCell ref="O36:Q36"/>
    <mergeCell ref="B37:C37"/>
    <mergeCell ref="F37:H37"/>
    <mergeCell ref="O37:Q37"/>
    <mergeCell ref="B38:C38"/>
    <mergeCell ref="B2:I3"/>
    <mergeCell ref="B4:F4"/>
    <mergeCell ref="B5:F5"/>
    <mergeCell ref="B6:F6"/>
    <mergeCell ref="B7:F7"/>
    <mergeCell ref="B8:F8"/>
    <mergeCell ref="B9:F9"/>
    <mergeCell ref="B18:C18"/>
    <mergeCell ref="B19:C19"/>
    <mergeCell ref="B20:C20"/>
    <mergeCell ref="B21:C21"/>
    <mergeCell ref="B22:C22"/>
    <mergeCell ref="B10:F10"/>
    <mergeCell ref="B11:F11"/>
    <mergeCell ref="B13:I13"/>
    <mergeCell ref="B15:F16"/>
    <mergeCell ref="B17:C17"/>
    <mergeCell ref="F17:H17"/>
    <mergeCell ref="F18:G18"/>
    <mergeCell ref="F19:G19"/>
    <mergeCell ref="F20:G20"/>
    <mergeCell ref="F21:G21"/>
    <mergeCell ref="F22:G22"/>
    <mergeCell ref="F23:G23"/>
    <mergeCell ref="F24:G24"/>
    <mergeCell ref="F25:G25"/>
    <mergeCell ref="F34:H34"/>
    <mergeCell ref="O34:Q34"/>
    <mergeCell ref="F26:G26"/>
    <mergeCell ref="F27:G27"/>
    <mergeCell ref="F28:H28"/>
    <mergeCell ref="F29:H29"/>
    <mergeCell ref="F30:H30"/>
    <mergeCell ref="B32:F33"/>
    <mergeCell ref="B34:C34"/>
    <mergeCell ref="F38:H38"/>
    <mergeCell ref="F39:H39"/>
    <mergeCell ref="F40:H40"/>
    <mergeCell ref="F41:H41"/>
    <mergeCell ref="F42:H42"/>
    <mergeCell ref="F43:H43"/>
    <mergeCell ref="F44:H44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45:H45"/>
    <mergeCell ref="F46:H46"/>
    <mergeCell ref="F47:H47"/>
    <mergeCell ref="F48:H48"/>
    <mergeCell ref="F49:H49"/>
    <mergeCell ref="F50:H50"/>
    <mergeCell ref="B52:G53"/>
    <mergeCell ref="B54:C54"/>
    <mergeCell ref="F54:H54"/>
    <mergeCell ref="B55:C55"/>
    <mergeCell ref="F55:H55"/>
    <mergeCell ref="B56:C56"/>
    <mergeCell ref="F56:H56"/>
    <mergeCell ref="B57:C57"/>
    <mergeCell ref="B65:C65"/>
    <mergeCell ref="B66:C66"/>
    <mergeCell ref="B67:C67"/>
    <mergeCell ref="B68:C68"/>
    <mergeCell ref="F57:H57"/>
    <mergeCell ref="F58:H58"/>
    <mergeCell ref="F59:G59"/>
    <mergeCell ref="F60:G60"/>
    <mergeCell ref="F61:G61"/>
    <mergeCell ref="B63:G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B105:G105"/>
    <mergeCell ref="B106:G106"/>
    <mergeCell ref="B107:G107"/>
    <mergeCell ref="B108:G108"/>
    <mergeCell ref="B109:G109"/>
    <mergeCell ref="F94:H94"/>
    <mergeCell ref="B96:F97"/>
    <mergeCell ref="B98:G98"/>
    <mergeCell ref="B99:G99"/>
    <mergeCell ref="B100:G100"/>
    <mergeCell ref="B102:E103"/>
    <mergeCell ref="B104:G104"/>
  </mergeCells>
  <drawing r:id="rId1"/>
</worksheet>
</file>