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<sst xmlns="http://schemas.openxmlformats.org/spreadsheetml/2006/main" count="114" uniqueCount="53">
  <si>
    <t>Resumen Cursos</t>
  </si>
  <si>
    <t>Ramos</t>
  </si>
  <si>
    <t>Promedio</t>
  </si>
  <si>
    <t>Creditos</t>
  </si>
  <si>
    <t xml:space="preserve">Calculo </t>
  </si>
  <si>
    <t>Álgebra</t>
  </si>
  <si>
    <t>Desafíos</t>
  </si>
  <si>
    <t xml:space="preserve">Química </t>
  </si>
  <si>
    <t>Filosofía</t>
  </si>
  <si>
    <t xml:space="preserve">Promedio general </t>
  </si>
  <si>
    <t>Créditos:</t>
  </si>
  <si>
    <t>Lab Calculo</t>
  </si>
  <si>
    <t>Prom. Actual</t>
  </si>
  <si>
    <t>Evaluación</t>
  </si>
  <si>
    <t>%</t>
  </si>
  <si>
    <t>Nota</t>
  </si>
  <si>
    <t>I1</t>
  </si>
  <si>
    <t>Tarea 1</t>
  </si>
  <si>
    <t>I2</t>
  </si>
  <si>
    <t>Nota Min.PA</t>
  </si>
  <si>
    <t>Tarea 2</t>
  </si>
  <si>
    <t>I3</t>
  </si>
  <si>
    <t>Tarea 3</t>
  </si>
  <si>
    <t>Examen</t>
  </si>
  <si>
    <t>Tarea 4</t>
  </si>
  <si>
    <t>Lab</t>
  </si>
  <si>
    <t>Lab Álgebra</t>
  </si>
  <si>
    <t>Tarea 5</t>
  </si>
  <si>
    <t>Lab Química</t>
  </si>
  <si>
    <t>Taller Química</t>
  </si>
  <si>
    <t>Lab 1</t>
  </si>
  <si>
    <t>Taller 1</t>
  </si>
  <si>
    <t>Lab 2</t>
  </si>
  <si>
    <t>Taller 2</t>
  </si>
  <si>
    <t>Taller</t>
  </si>
  <si>
    <t>Lab 3</t>
  </si>
  <si>
    <t>Taller 3</t>
  </si>
  <si>
    <t>Examen (30%)</t>
  </si>
  <si>
    <t>Lab 4</t>
  </si>
  <si>
    <t>Taller 4</t>
  </si>
  <si>
    <t>Control 1</t>
  </si>
  <si>
    <t>Control 2</t>
  </si>
  <si>
    <t>Control 3</t>
  </si>
  <si>
    <t>Control 4</t>
  </si>
  <si>
    <t>Talleres</t>
  </si>
  <si>
    <t>Tareas</t>
  </si>
  <si>
    <t>Actividad Clase</t>
  </si>
  <si>
    <t>Presentación 1</t>
  </si>
  <si>
    <t>Presentación 2</t>
  </si>
  <si>
    <t>Presentación 3</t>
  </si>
  <si>
    <t>P. Pre-feria</t>
  </si>
  <si>
    <t>P. Feria</t>
  </si>
  <si>
    <t>Prueba pareja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</si>
</sst>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%"/>
    <numFmt numFmtId="166" formatCode="0.0"/>
  </numFmts>
  <fonts count="17">
    <font>
      <sz val="11.0"/>
      <color rgb="FF000000"/>
      <name val="Calibri"/>
      <scheme val="minor"/>
    </font>
    <font>
      <sz val="11.0"/>
      <color theme="1"/>
      <name val="Calibri"/>
    </font>
    <font>
      <sz val="10.0"/>
      <color rgb="FF000000"/>
      <name val="Calibri"/>
    </font>
    <font>
      <b/>
      <sz val="10.0"/>
      <color rgb="FFFFFFFF"/>
      <name val="Calibri"/>
    </font>
    <font/>
    <font>
      <color rgb="FFFFFFFF"/>
      <name val="Calibri"/>
      <scheme val="minor"/>
    </font>
    <font>
      <sz val="10.0"/>
      <color rgb="FFFFFFFF"/>
      <name val="Calibri"/>
    </font>
    <font>
      <b/>
      <sz val="10.0"/>
      <color theme="0"/>
      <name val="Calibri"/>
    </font>
    <font>
      <sz val="10.0"/>
      <color theme="1"/>
      <name val="Calibri"/>
    </font>
    <font>
      <b/>
      <sz val="11.0"/>
      <color theme="0"/>
      <name val="Calibri"/>
    </font>
    <font>
      <color theme="1"/>
      <name val="Calibri"/>
      <scheme val="minor"/>
    </font>
    <font>
      <b/>
      <sz val="10.0"/>
      <color theme="1"/>
      <name val="Calibri"/>
    </font>
    <font>
      <b/>
      <i/>
      <sz val="10.0"/>
      <color theme="1"/>
      <name val="Calibri"/>
    </font>
    <font>
      <b/>
      <sz val="8.0"/>
      <color theme="1"/>
      <name val="Calibri"/>
    </font>
    <font>
      <b/>
      <color theme="1"/>
      <name val="Calibri"/>
      <scheme val="minor"/>
    </font>
    <font>
      <sz val="8.0"/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1" fillId="2" fontId="5" numFmtId="0" xfId="0" applyAlignment="1" applyBorder="1" applyFill="1" applyFont="1">
      <alignment readingOrder="0"/>
    </xf>
    <xf borderId="4" fillId="2" fontId="6" numFmtId="0" xfId="0" applyAlignment="1" applyBorder="1" applyFill="1" applyFont="1">
      <alignment horizontal="center" readingOrder="0"/>
    </xf>
    <xf borderId="0" fillId="0" fontId="7" numFmtId="164" xfId="0" applyFont="1" applyNumberFormat="1"/>
    <xf borderId="1" fillId="0" fontId="8" numFmtId="0" xfId="0" applyAlignment="1" applyBorder="1" applyFont="1">
      <alignment horizontal="left"/>
    </xf>
    <xf borderId="4" fillId="0" fontId="8" numFmtId="1" xfId="0" applyAlignment="1" applyBorder="1" applyFont="1" applyNumberFormat="1">
      <alignment horizontal="center"/>
    </xf>
    <xf borderId="4" fillId="0" fontId="8" numFmtId="0" xfId="0" applyAlignment="1" applyBorder="1" applyFont="1">
      <alignment horizontal="center"/>
    </xf>
    <xf borderId="0" fillId="0" fontId="9" numFmtId="0" xfId="0" applyFont="1"/>
    <xf borderId="0" fillId="0" fontId="9" numFmtId="0" xfId="0" applyAlignment="1" applyFont="1">
      <alignment horizontal="center"/>
    </xf>
    <xf borderId="0" fillId="0" fontId="8" numFmtId="0" xfId="0" applyFont="1"/>
    <xf borderId="5" fillId="0" fontId="2" numFmtId="0" xfId="0" applyAlignment="1" applyBorder="1" applyFont="1">
      <alignment horizontal="left" vertical="top"/>
    </xf>
    <xf borderId="6" fillId="0" fontId="4" numFmtId="0" xfId="0" applyBorder="1" applyFont="1"/>
    <xf borderId="7" fillId="0" fontId="4" numFmtId="0" xfId="0" applyBorder="1" applyFont="1"/>
    <xf borderId="8" fillId="0" fontId="2" numFmtId="1" xfId="0" applyAlignment="1" applyBorder="1" applyFont="1" applyNumberFormat="1">
      <alignment horizontal="center"/>
    </xf>
    <xf borderId="8" fillId="0" fontId="8" numFmtId="0" xfId="0" applyAlignment="1" applyBorder="1" applyFont="1">
      <alignment horizontal="center"/>
    </xf>
    <xf borderId="1" fillId="0" fontId="10" numFmtId="0" xfId="0" applyAlignment="1" applyBorder="1" applyFont="1">
      <alignment readingOrder="0"/>
    </xf>
    <xf borderId="2" fillId="0" fontId="4" numFmtId="0" xfId="0" applyBorder="1" applyFont="1"/>
    <xf borderId="3" fillId="0" fontId="4" numFmtId="0" xfId="0" applyBorder="1" applyFont="1"/>
    <xf borderId="4" fillId="0" fontId="10" numFmtId="1" xfId="0" applyAlignment="1" applyBorder="1" applyFont="1" applyNumberFormat="1">
      <alignment horizontal="center"/>
    </xf>
    <xf borderId="4" fillId="0" fontId="10" numFmtId="0" xfId="0" applyAlignment="1" applyBorder="1" applyFont="1">
      <alignment horizontal="center"/>
    </xf>
    <xf borderId="5" fillId="2" fontId="3" numFmtId="0" xfId="0" applyAlignment="1" applyBorder="1" applyFill="1" applyFont="1">
      <alignment horizontal="left" shrinkToFit="0" vertical="center" wrapText="0"/>
    </xf>
    <xf borderId="4" fillId="2" fontId="3" numFmtId="0" xfId="0" applyAlignment="1" applyBorder="1" applyFill="1" applyFont="1">
      <alignment shrinkToFit="0" wrapText="0"/>
    </xf>
    <xf borderId="0" fillId="0" fontId="5" numFmtId="0" xfId="0" applyAlignment="1" applyFont="1">
      <alignment shrinkToFit="0" wrapText="0"/>
    </xf>
    <xf borderId="0" fillId="0" fontId="10" numFmtId="0" xfId="0" applyAlignment="1" applyFont="1">
      <alignment shrinkToFit="0" wrapText="0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4" fillId="2" fontId="6" numFmtId="0" xfId="0" applyAlignment="1" applyBorder="1" applyFill="1" applyFont="1">
      <alignment shrinkToFit="0" wrapText="0"/>
    </xf>
    <xf borderId="1" fillId="3" fontId="11" numFmtId="0" xfId="0" applyAlignment="1" applyBorder="1" applyFill="1" applyFont="1">
      <alignment horizontal="center" shrinkToFit="0" wrapText="0"/>
    </xf>
    <xf borderId="4" fillId="3" fontId="12" numFmtId="0" xfId="0" applyAlignment="1" applyBorder="1" applyFill="1" applyFont="1">
      <alignment horizontal="center" shrinkToFit="0" vertical="top" wrapText="0"/>
    </xf>
    <xf borderId="4" fillId="3" fontId="11" numFmtId="0" xfId="0" applyAlignment="1" applyBorder="1" applyFill="1" applyFont="1">
      <alignment horizontal="center" shrinkToFit="0" wrapText="0"/>
    </xf>
    <xf borderId="0" fillId="0" fontId="10" numFmtId="0" xfId="0" applyAlignment="1" applyFont="1">
      <alignment horizontal="center" shrinkToFit="0" wrapText="0"/>
    </xf>
    <xf borderId="8" fillId="3" fontId="7" numFmtId="1" xfId="0" applyAlignment="1" applyBorder="1" applyFill="1" applyFont="1" applyNumberFormat="1">
      <alignment horizontal="center" shrinkToFit="0" vertical="center" wrapText="0"/>
    </xf>
    <xf borderId="1" fillId="4" fontId="8" numFmtId="0" xfId="0" applyAlignment="1" applyBorder="1" applyFill="1" applyFont="1">
      <alignment horizontal="left" shrinkToFit="0" wrapText="0"/>
    </xf>
    <xf borderId="4" fillId="4" fontId="8" numFmtId="165" xfId="0" applyAlignment="1" applyBorder="1" applyFill="1" applyFont="1" applyNumberFormat="1">
      <alignment horizontal="center" shrinkToFit="0" wrapText="0"/>
    </xf>
    <xf borderId="4" fillId="5" fontId="8" numFmtId="1" xfId="0" applyAlignment="1" applyBorder="1" applyFill="1" applyFont="1" applyNumberFormat="1">
      <alignment horizontal="center" readingOrder="0" shrinkToFit="0" wrapText="0"/>
    </xf>
    <xf borderId="12" fillId="0" fontId="4" numFmtId="0" xfId="0" applyBorder="1" applyFont="1"/>
    <xf borderId="1" fillId="0" fontId="2" numFmtId="0" xfId="0" applyAlignment="1" applyBorder="1" applyFont="1">
      <alignment horizontal="left" shrinkToFit="0" wrapText="0"/>
    </xf>
    <xf borderId="4" fillId="0" fontId="2" numFmtId="10" xfId="0" applyAlignment="1" applyBorder="1" applyFont="1" applyNumberFormat="1">
      <alignment horizontal="center" shrinkToFit="0" wrapText="0"/>
    </xf>
    <xf borderId="4" fillId="0" fontId="8" numFmtId="0" xfId="0" applyAlignment="1" applyBorder="1" applyFont="1">
      <alignment horizontal="center" readingOrder="0" shrinkToFit="0" wrapText="0"/>
    </xf>
    <xf borderId="4" fillId="5" fontId="8" numFmtId="0" xfId="0" applyAlignment="1" applyBorder="1" applyFill="1" applyFont="1">
      <alignment horizontal="center" readingOrder="0" shrinkToFit="0" wrapText="0"/>
    </xf>
    <xf borderId="8" fillId="3" fontId="8" numFmtId="1" xfId="0" applyAlignment="1" applyBorder="1" applyFill="1" applyFont="1" applyNumberFormat="1">
      <alignment horizontal="center" shrinkToFit="0" vertical="center" wrapText="0"/>
    </xf>
    <xf borderId="8" fillId="3" fontId="8" numFmtId="166" xfId="0" applyAlignment="1" applyBorder="1" applyFill="1" applyFont="1" applyNumberFormat="1">
      <alignment horizontal="center" shrinkToFit="0" vertical="center" wrapText="0"/>
    </xf>
    <xf borderId="0" fillId="0" fontId="11" numFmtId="0" xfId="0" applyAlignment="1" applyFont="1">
      <alignment horizontal="left" shrinkToFit="0" vertical="center" wrapText="1"/>
    </xf>
    <xf borderId="1" fillId="5" fontId="8" numFmtId="0" xfId="0" applyAlignment="1" applyBorder="1" applyFill="1" applyFont="1">
      <alignment horizontal="left" shrinkToFit="0" wrapText="0"/>
    </xf>
    <xf borderId="4" fillId="5" fontId="8" numFmtId="165" xfId="0" applyAlignment="1" applyBorder="1" applyFill="1" applyFont="1" applyNumberFormat="1">
      <alignment horizontal="center" shrinkToFit="0" wrapText="0"/>
    </xf>
    <xf borderId="4" fillId="5" fontId="8" numFmtId="1" xfId="0" applyAlignment="1" applyBorder="1" applyFill="1" applyFont="1" applyNumberFormat="1">
      <alignment horizontal="center" shrinkToFit="0" wrapText="0"/>
    </xf>
    <xf borderId="4" fillId="3" fontId="8" numFmtId="0" xfId="0" applyAlignment="1" applyBorder="1" applyFill="1" applyFont="1">
      <alignment horizontal="center" shrinkToFit="0" wrapText="0"/>
    </xf>
    <xf borderId="4" fillId="5" fontId="8" numFmtId="0" xfId="0" applyAlignment="1" applyBorder="1" applyFill="1" applyFont="1">
      <alignment horizontal="center" shrinkToFit="0" wrapText="0"/>
    </xf>
    <xf borderId="0" fillId="4" fontId="8" numFmtId="0" xfId="0" applyFill="1" applyFont="1"/>
    <xf borderId="0" fillId="0" fontId="13" numFmtId="0" xfId="0" applyAlignment="1" applyFont="1">
      <alignment shrinkToFit="0" wrapText="1"/>
    </xf>
    <xf borderId="0" fillId="0" fontId="8" numFmtId="0" xfId="0" applyAlignment="1" applyFont="1">
      <alignment horizontal="left" shrinkToFit="0" vertical="top" wrapText="1"/>
    </xf>
    <xf borderId="4" fillId="0" fontId="2" numFmtId="165" xfId="0" applyAlignment="1" applyBorder="1" applyFont="1" applyNumberFormat="1">
      <alignment horizontal="center" shrinkToFit="0" wrapText="0"/>
    </xf>
    <xf borderId="4" fillId="0" fontId="2" numFmtId="165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shrinkToFit="0" wrapText="0"/>
    </xf>
    <xf borderId="0" fillId="0" fontId="6" numFmtId="0" xfId="0" applyAlignment="1" applyFont="1">
      <alignment shrinkToFit="0" wrapText="0"/>
    </xf>
    <xf borderId="1" fillId="3" fontId="11" numFmtId="0" xfId="0" applyAlignment="1" applyBorder="1" applyFill="1" applyFont="1">
      <alignment shrinkToFit="0" wrapText="0"/>
    </xf>
    <xf borderId="4" fillId="3" fontId="12" numFmtId="0" xfId="0" applyAlignment="1" applyBorder="1" applyFill="1" applyFont="1">
      <alignment horizontal="left" shrinkToFit="0" vertical="top" wrapText="0"/>
    </xf>
    <xf borderId="4" fillId="3" fontId="11" numFmtId="0" xfId="0" applyAlignment="1" applyBorder="1" applyFill="1" applyFont="1">
      <alignment shrinkToFit="0" wrapText="0"/>
    </xf>
    <xf borderId="0" fillId="0" fontId="11" numFmtId="0" xfId="0" applyAlignment="1" applyFont="1">
      <alignment shrinkToFit="0" wrapText="0"/>
    </xf>
    <xf borderId="8" fillId="3" fontId="7" numFmtId="1" xfId="0" applyAlignment="1" applyBorder="1" applyFill="1" applyFont="1" applyNumberFormat="1">
      <alignment horizontal="center" readingOrder="0" shrinkToFit="0" vertical="center" wrapText="0"/>
    </xf>
    <xf borderId="0" fillId="0" fontId="7" numFmtId="1" xfId="0" applyAlignment="1" applyFont="1" applyNumberFormat="1">
      <alignment horizontal="center" shrinkToFit="0" vertical="center" wrapText="0"/>
    </xf>
    <xf borderId="1" fillId="4" fontId="8" numFmtId="0" xfId="0" applyAlignment="1" applyBorder="1" applyFill="1" applyFont="1">
      <alignment shrinkToFit="0" wrapText="0"/>
    </xf>
    <xf borderId="4" fillId="4" fontId="8" numFmtId="10" xfId="0" applyAlignment="1" applyBorder="1" applyFill="1" applyFont="1" applyNumberFormat="1">
      <alignment horizontal="center" readingOrder="0" shrinkToFit="0" wrapText="0"/>
    </xf>
    <xf borderId="1" fillId="0" fontId="2" numFmtId="0" xfId="0" applyAlignment="1" applyBorder="1" applyFont="1">
      <alignment shrinkToFit="0" wrapText="0"/>
    </xf>
    <xf borderId="4" fillId="0" fontId="8" numFmtId="10" xfId="0" applyAlignment="1" applyBorder="1" applyFont="1" applyNumberFormat="1">
      <alignment horizontal="center" readingOrder="0" shrinkToFit="0" wrapText="0"/>
    </xf>
    <xf borderId="4" fillId="0" fontId="8" numFmtId="9" xfId="0" applyAlignment="1" applyBorder="1" applyFont="1" applyNumberFormat="1">
      <alignment horizontal="center" readingOrder="0" shrinkToFit="0" wrapText="0"/>
    </xf>
    <xf borderId="8" fillId="3" fontId="11" numFmtId="166" xfId="0" applyAlignment="1" applyBorder="1" applyFill="1" applyFont="1" applyNumberFormat="1">
      <alignment horizontal="center" shrinkToFit="0" vertical="center" wrapText="0"/>
    </xf>
    <xf borderId="0" fillId="0" fontId="11" numFmtId="166" xfId="0" applyAlignment="1" applyFont="1" applyNumberFormat="1">
      <alignment horizontal="center" shrinkToFit="0" vertical="center" wrapText="0"/>
    </xf>
    <xf borderId="0" fillId="5" fontId="2" numFmtId="0" xfId="0" applyFill="1" applyFont="1"/>
    <xf borderId="1" fillId="5" fontId="8" numFmtId="0" xfId="0" applyAlignment="1" applyBorder="1" applyFill="1" applyFont="1">
      <alignment shrinkToFit="0" wrapText="0"/>
    </xf>
    <xf borderId="4" fillId="4" fontId="8" numFmtId="9" xfId="0" applyAlignment="1" applyBorder="1" applyFill="1" applyFont="1" applyNumberFormat="1">
      <alignment horizontal="center" readingOrder="0" shrinkToFit="0" wrapText="0"/>
    </xf>
    <xf borderId="0" fillId="0" fontId="10" numFmtId="0" xfId="0" applyAlignment="1" applyFont="1">
      <alignment readingOrder="0" shrinkToFit="0" wrapText="0"/>
    </xf>
    <xf borderId="8" fillId="3" fontId="11" numFmtId="0" xfId="0" applyAlignment="1" applyBorder="1" applyFill="1" applyFont="1">
      <alignment shrinkToFit="0" wrapText="0"/>
    </xf>
    <xf borderId="4" fillId="0" fontId="8" numFmtId="10" xfId="0" applyAlignment="1" applyBorder="1" applyFont="1" applyNumberFormat="1">
      <alignment horizontal="center" shrinkToFit="0" wrapText="0"/>
    </xf>
    <xf borderId="1" fillId="5" fontId="8" numFmtId="0" xfId="0" applyAlignment="1" applyBorder="1" applyFill="1" applyFont="1">
      <alignment readingOrder="0" shrinkToFit="0" wrapText="0"/>
    </xf>
    <xf borderId="4" fillId="5" fontId="8" numFmtId="9" xfId="0" applyAlignment="1" applyBorder="1" applyFill="1" applyFont="1" applyNumberFormat="1">
      <alignment horizontal="center" readingOrder="0" shrinkToFit="0" wrapText="0"/>
    </xf>
    <xf borderId="13" fillId="0" fontId="4" numFmtId="0" xfId="0" applyBorder="1" applyFont="1"/>
    <xf borderId="4" fillId="5" fontId="8" numFmtId="165" xfId="0" applyAlignment="1" applyBorder="1" applyFill="1" applyFont="1" applyNumberFormat="1">
      <alignment horizontal="center" readingOrder="0" shrinkToFit="0" wrapText="0"/>
    </xf>
    <xf borderId="4" fillId="3" fontId="14" numFmtId="0" xfId="0" applyAlignment="1" applyBorder="1" applyFill="1" applyFont="1">
      <alignment shrinkToFit="0" wrapText="0"/>
    </xf>
    <xf borderId="8" fillId="3" fontId="11" numFmtId="1" xfId="0" applyAlignment="1" applyBorder="1" applyFill="1" applyFont="1" applyNumberFormat="1">
      <alignment horizontal="center" readingOrder="0" shrinkToFit="0" vertical="center" wrapText="0"/>
    </xf>
    <xf borderId="8" fillId="3" fontId="8" numFmtId="0" xfId="0" applyAlignment="1" applyBorder="1" applyFill="1" applyFont="1">
      <alignment shrinkToFit="0" wrapText="0"/>
    </xf>
    <xf borderId="8" fillId="3" fontId="7" numFmtId="166" xfId="0" applyAlignment="1" applyBorder="1" applyFill="1" applyFont="1" applyNumberFormat="1">
      <alignment horizontal="center" readingOrder="0" shrinkToFit="0" vertical="center" wrapText="0"/>
    </xf>
    <xf borderId="4" fillId="4" fontId="8" numFmtId="165" xfId="0" applyAlignment="1" applyBorder="1" applyFill="1" applyFont="1" applyNumberFormat="1">
      <alignment horizontal="center" readingOrder="0" shrinkToFit="0" wrapText="0"/>
    </xf>
    <xf borderId="0" fillId="0" fontId="15" numFmtId="0" xfId="0" applyFont="1"/>
    <xf borderId="0" fillId="0" fontId="8" numFmtId="165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16" numFmtId="0" xfId="0" applyFont="1"/>
  </cellXfs>
  <cellStyles count="1">
    <cellStyle xfId="0" name="Normal" builtinId="0"/>
  </cellStyles>
  <dxfs count="10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>
        <color theme="0"/>
      </font>
      <fill>
        <patternFill patternType="solid">
          <fgColor theme="9"/>
          <bgColor theme="9"/>
        </patternFill>
      </fill>
      <border/>
    </dxf>
    <dxf>
      <font>
        <color theme="5"/>
      </font>
      <fill>
        <patternFill patternType="none"/>
      </fill>
      <border/>
    </dxf>
    <dxf>
      <font>
        <color theme="7"/>
      </font>
      <fill>
        <patternFill patternType="none"/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>
        <color theme="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361950</xdr:colOff>
      <xdr:row>20</xdr:row>
      <xdr:rowOff>0</xdr:rowOff>
    </xdr:from>
    <xdr:ext cx="47625" cy="180975"/>
    <xdr:sp>
      <xdr:nvSpPr>
        <xdr:cNvPr id="3" name="Shape 3"/>
        <xdr:cNvSpPr txBox="1"/>
      </xdr:nvSpPr>
      <xdr:spPr>
        <a:xfrm>
          <a:off x="5326950" y="3694275"/>
          <a:ext cx="38100" cy="17145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6" width="10.14"/>
    <col customWidth="1" min="7" max="7" width="3.0"/>
    <col customWidth="1" min="8" max="12" width="10.14"/>
    <col customWidth="1" min="13" max="13" width="3.0"/>
    <col customWidth="1" min="14" max="18" width="10.14"/>
    <col customWidth="1" min="19" max="19" width="3.0"/>
  </cols>
  <sheetData>
    <row r="1" ht="15.0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1"/>
      <c r="B2" s="3" t="s">
        <v>0</v>
      </c>
      <c r="C2" s="4"/>
      <c r="D2" s="4"/>
      <c r="E2" s="4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5.0" customHeight="1">
      <c r="A3" s="2"/>
      <c r="B3" s="6" t="s">
        <v>1</v>
      </c>
      <c r="C3" s="4"/>
      <c r="D3" s="5"/>
      <c r="E3" s="7" t="s">
        <v>2</v>
      </c>
      <c r="F3" s="7" t="s">
        <v>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15.0" customHeight="1">
      <c r="A4" s="8"/>
      <c r="B4" s="9" t="s">
        <v>4</v>
      </c>
      <c r="C4" s="4"/>
      <c r="D4" s="5"/>
      <c r="E4" s="10">
        <f>F15</f>
        <v>48</v>
      </c>
      <c r="F4" s="11">
        <f>IF(E4="","",F13)</f>
        <v>10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15.0" customHeight="1">
      <c r="A5" s="12"/>
      <c r="B5" s="9" t="s">
        <v>5</v>
      </c>
      <c r="C5" s="4"/>
      <c r="D5" s="5"/>
      <c r="E5" s="10">
        <f>F25</f>
        <v>49</v>
      </c>
      <c r="F5" s="11">
        <f>IF(E5="","",F23)</f>
        <v>10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15.0" customHeight="1">
      <c r="A6" s="13"/>
      <c r="B6" s="9" t="s">
        <v>6</v>
      </c>
      <c r="C6" s="4"/>
      <c r="D6" s="5"/>
      <c r="E6" s="10">
        <f>F49</f>
        <v>56.5</v>
      </c>
      <c r="F6" s="11">
        <f>IF(E6="","",F47)</f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15.0" customHeight="1">
      <c r="A7" s="14"/>
      <c r="B7" s="9" t="s">
        <v>7</v>
      </c>
      <c r="C7" s="4"/>
      <c r="D7" s="5"/>
      <c r="E7" s="10">
        <f>F35</f>
        <v>47</v>
      </c>
      <c r="F7" s="11">
        <f>IF(E7="","",F33)</f>
        <v>10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15.0" customHeight="1">
      <c r="B8" s="15" t="s">
        <v>8</v>
      </c>
      <c r="C8" s="16"/>
      <c r="D8" s="17"/>
      <c r="E8" s="18">
        <f>F62</f>
        <v>57</v>
      </c>
      <c r="F8" s="19">
        <f>IF(E8="","",F60)</f>
        <v>10</v>
      </c>
    </row>
    <row r="9" ht="15.0" customHeight="1">
      <c r="B9" s="20" t="s">
        <v>9</v>
      </c>
      <c r="C9" s="21"/>
      <c r="D9" s="22"/>
      <c r="E9" s="23">
        <f>AVERAGE(E4,E8,E7,E6,E5) </f>
        <v>51.5</v>
      </c>
      <c r="F9" s="24">
        <f>F4+F5+F6+F7+F8</f>
        <v>50</v>
      </c>
    </row>
    <row r="10" ht="15.0" customHeight="1"/>
    <row r="11" ht="15.0" customHeight="1"/>
    <row r="12" ht="15.0" customHeight="1">
      <c r="B12" s="25" t="str">
        <f>B4</f>
        <v>Calculo </v>
      </c>
      <c r="C12" s="16"/>
      <c r="D12" s="16"/>
      <c r="E12" s="17"/>
      <c r="F12" s="26" t="s">
        <v>10</v>
      </c>
      <c r="G12" s="27"/>
      <c r="H12" s="25" t="s">
        <v>11</v>
      </c>
      <c r="I12" s="16"/>
      <c r="J12" s="16"/>
      <c r="K12" s="17"/>
      <c r="L12" s="26" t="s">
        <v>10</v>
      </c>
      <c r="M12" s="28"/>
      <c r="N12" s="28"/>
      <c r="O12" s="28"/>
      <c r="P12" s="28"/>
      <c r="Q12" s="28"/>
    </row>
    <row r="13">
      <c r="B13" s="29"/>
      <c r="C13" s="30"/>
      <c r="D13" s="30"/>
      <c r="E13" s="31"/>
      <c r="F13" s="32">
        <v>10.0</v>
      </c>
      <c r="G13" s="27"/>
      <c r="H13" s="29"/>
      <c r="I13" s="30"/>
      <c r="J13" s="30"/>
      <c r="K13" s="31"/>
      <c r="L13" s="32"/>
      <c r="M13" s="28"/>
      <c r="N13" s="28"/>
      <c r="O13" s="28"/>
      <c r="P13" s="28"/>
      <c r="Q13" s="28"/>
    </row>
    <row r="14" ht="12.75" customHeight="1">
      <c r="B14" s="33"/>
      <c r="C14" s="5"/>
      <c r="D14" s="34" t="str">
        <f>IF(SUM(D16:D20)&gt;100%,"suma&gt;100%",IF(SUM(D16:D20)&lt;100%,"suma&lt;100%","OK %"))</f>
        <v>OK %</v>
      </c>
      <c r="E14" s="35"/>
      <c r="F14" s="35" t="s">
        <v>12</v>
      </c>
      <c r="G14" s="36"/>
      <c r="H14" s="33"/>
      <c r="I14" s="5"/>
      <c r="J14" s="34" t="str">
        <f>IF(SUM(J16:J20)&gt;100%,"suma&gt;100%",IF(SUM(J16:J20)&lt;100%,"suma&lt;100%","OK %"))</f>
        <v>OK %</v>
      </c>
      <c r="K14" s="35"/>
      <c r="L14" s="35" t="s">
        <v>12</v>
      </c>
      <c r="M14" s="28"/>
      <c r="N14" s="28"/>
      <c r="O14" s="28"/>
      <c r="P14" s="28"/>
      <c r="Q14" s="28"/>
    </row>
    <row r="15" ht="12.75" customHeight="1">
      <c r="B15" s="33" t="s">
        <v>13</v>
      </c>
      <c r="C15" s="5"/>
      <c r="D15" s="35" t="s">
        <v>14</v>
      </c>
      <c r="E15" s="35" t="s">
        <v>15</v>
      </c>
      <c r="F15" s="37">
        <f>IFERROR(ROUND(SUMPRODUCT(D16:D20,E16:E20)/(SUMIF(E16:E20,"&gt;0",D16:D20)),0),"")</f>
        <v>48</v>
      </c>
      <c r="G15" s="36"/>
      <c r="H15" s="33" t="s">
        <v>13</v>
      </c>
      <c r="I15" s="5"/>
      <c r="J15" s="35" t="s">
        <v>14</v>
      </c>
      <c r="K15" s="35" t="s">
        <v>15</v>
      </c>
      <c r="L15" s="37">
        <f>IFERROR(ROUND(SUMPRODUCT(J16:J20,K16:K20)/(SUMIF(K16:K20,"&gt;0",J16:J20)),0),"")</f>
        <v>65</v>
      </c>
      <c r="M15" s="28"/>
      <c r="N15" s="28"/>
      <c r="O15" s="28"/>
      <c r="P15" s="28"/>
      <c r="Q15" s="28"/>
    </row>
    <row r="16" ht="12.75" customHeight="1">
      <c r="B16" s="38" t="s">
        <v>16</v>
      </c>
      <c r="C16" s="5"/>
      <c r="D16" s="39">
        <v>0.2</v>
      </c>
      <c r="E16" s="40">
        <v>34.0</v>
      </c>
      <c r="F16" s="41"/>
      <c r="G16" s="36"/>
      <c r="H16" s="42" t="s">
        <v>17</v>
      </c>
      <c r="I16" s="5"/>
      <c r="J16" s="43">
        <v>0.25</v>
      </c>
      <c r="K16" s="44">
        <v>55.0</v>
      </c>
      <c r="L16" s="41"/>
      <c r="M16" s="28"/>
      <c r="N16" s="28"/>
      <c r="O16" s="28"/>
      <c r="P16" s="28"/>
      <c r="Q16" s="28"/>
    </row>
    <row r="17" ht="12.75" customHeight="1">
      <c r="B17" s="38" t="s">
        <v>18</v>
      </c>
      <c r="C17" s="5"/>
      <c r="D17" s="39">
        <v>0.2</v>
      </c>
      <c r="E17" s="40">
        <v>49.0</v>
      </c>
      <c r="F17" s="35" t="s">
        <v>19</v>
      </c>
      <c r="G17" s="36"/>
      <c r="H17" s="42" t="s">
        <v>20</v>
      </c>
      <c r="I17" s="5"/>
      <c r="J17" s="43">
        <v>0.25</v>
      </c>
      <c r="K17" s="45">
        <v>70.0</v>
      </c>
      <c r="L17" s="35" t="s">
        <v>19</v>
      </c>
      <c r="M17" s="28"/>
      <c r="N17" s="28"/>
      <c r="O17" s="28"/>
      <c r="P17" s="28"/>
      <c r="Q17" s="28"/>
    </row>
    <row r="18">
      <c r="B18" s="38" t="s">
        <v>21</v>
      </c>
      <c r="C18" s="5"/>
      <c r="D18" s="39">
        <v>0.2</v>
      </c>
      <c r="E18" s="40">
        <v>48.0</v>
      </c>
      <c r="F18" s="46">
        <f>IFERROR(IF(F15="","",IF(((39.5-SUMPRODUCT(D16:D20,E16:E20))/(1-(SUMIF(E16:E20,"&gt;0",D16:D20))))&lt;10,10,(39.5-SUMPRODUCT(D16:D20,E16:E20))/(1-(SUMIF(E16:E20,"&gt;0",D16:D20))))),"Curso completado")</f>
        <v>3.69295E+16</v>
      </c>
      <c r="G18" s="36"/>
      <c r="H18" s="42" t="s">
        <v>22</v>
      </c>
      <c r="I18" s="5"/>
      <c r="J18" s="43">
        <v>0.25</v>
      </c>
      <c r="K18" s="45">
        <v>68.0</v>
      </c>
      <c r="L18" s="47" t="str">
        <f>IFERROR(IF(L15="","",IF(((39.5-SUMPRODUCT(J16:J20,K16:K20))/(1-(SUMIF(K16:K20,"&gt;0",J16:J20))))&lt;10,10,(39.5-SUMPRODUCT(J16:J20,K16:K20))/(1-(SUMIF(K16:K20,"&gt;0",J16:J20))))),"Curso completado")</f>
        <v>Curso completado</v>
      </c>
      <c r="M18" s="28"/>
      <c r="N18" s="28"/>
      <c r="O18" s="28"/>
      <c r="P18" s="28"/>
      <c r="Q18" s="28"/>
    </row>
    <row r="19">
      <c r="A19" s="48"/>
      <c r="B19" s="49" t="s">
        <v>23</v>
      </c>
      <c r="C19" s="5"/>
      <c r="D19" s="50">
        <v>0.3</v>
      </c>
      <c r="E19" s="40">
        <v>50.0</v>
      </c>
      <c r="F19" s="41"/>
      <c r="G19" s="36"/>
      <c r="H19" s="42" t="s">
        <v>24</v>
      </c>
      <c r="I19" s="5"/>
      <c r="J19" s="43">
        <v>0.25</v>
      </c>
      <c r="K19" s="45">
        <v>68.0</v>
      </c>
      <c r="L19" s="41"/>
      <c r="M19" s="28"/>
      <c r="N19" s="28"/>
      <c r="O19" s="28"/>
      <c r="P19" s="28"/>
      <c r="Q19" s="28"/>
    </row>
    <row r="20">
      <c r="A20" s="48"/>
      <c r="B20" s="38" t="s">
        <v>25</v>
      </c>
      <c r="C20" s="5"/>
      <c r="D20" s="39">
        <v>0.1</v>
      </c>
      <c r="E20" s="51">
        <f>L15</f>
        <v>65</v>
      </c>
      <c r="F20" s="52"/>
      <c r="G20" s="36"/>
      <c r="H20" s="42"/>
      <c r="I20" s="5"/>
      <c r="J20" s="43"/>
      <c r="K20" s="53"/>
      <c r="L20" s="52"/>
      <c r="M20" s="28"/>
      <c r="N20" s="28"/>
      <c r="O20" s="28"/>
      <c r="P20" s="28"/>
      <c r="Q20" s="28"/>
    </row>
    <row r="21" ht="15.0" customHeight="1">
      <c r="A21" s="54"/>
      <c r="B21" s="28"/>
      <c r="C21" s="28"/>
      <c r="D21" s="28"/>
      <c r="E21" s="28"/>
      <c r="F21" s="28"/>
      <c r="G21" s="28"/>
      <c r="H21" s="28"/>
      <c r="J21" s="28"/>
      <c r="K21" s="28"/>
      <c r="L21" s="28"/>
      <c r="M21" s="28"/>
      <c r="N21" s="28"/>
      <c r="O21" s="28"/>
      <c r="P21" s="28"/>
      <c r="Q21" s="28"/>
    </row>
    <row r="22" ht="15.0" customHeight="1">
      <c r="A22" s="54"/>
      <c r="B22" s="25" t="str">
        <f>B5</f>
        <v>Álgebra</v>
      </c>
      <c r="C22" s="16"/>
      <c r="D22" s="16"/>
      <c r="E22" s="17"/>
      <c r="F22" s="26" t="s">
        <v>10</v>
      </c>
      <c r="G22" s="28"/>
      <c r="H22" s="25" t="s">
        <v>26</v>
      </c>
      <c r="I22" s="16"/>
      <c r="J22" s="16"/>
      <c r="K22" s="17"/>
      <c r="L22" s="26" t="s">
        <v>10</v>
      </c>
      <c r="M22" s="28"/>
      <c r="N22" s="28"/>
      <c r="O22" s="28"/>
      <c r="P22" s="28"/>
      <c r="Q22" s="28"/>
    </row>
    <row r="23" ht="15.0" customHeight="1">
      <c r="A23" s="14"/>
      <c r="B23" s="29"/>
      <c r="C23" s="30"/>
      <c r="D23" s="30"/>
      <c r="E23" s="31"/>
      <c r="F23" s="32">
        <v>10.0</v>
      </c>
      <c r="G23" s="28"/>
      <c r="H23" s="29"/>
      <c r="I23" s="30"/>
      <c r="J23" s="30"/>
      <c r="K23" s="31"/>
      <c r="L23" s="32"/>
      <c r="M23" s="28"/>
      <c r="N23" s="28"/>
      <c r="O23" s="28"/>
      <c r="P23" s="28"/>
      <c r="Q23" s="28"/>
    </row>
    <row r="24" ht="15.0" customHeight="1">
      <c r="A24" s="14"/>
      <c r="B24" s="33"/>
      <c r="C24" s="5"/>
      <c r="D24" s="34" t="str">
        <f>IF(SUM(D26:D30)&gt;100%,"suma&gt;100%",IF(SUM(D26:D30)&lt;100%,"suma&lt;100%","OK %"))</f>
        <v>OK %</v>
      </c>
      <c r="E24" s="35"/>
      <c r="F24" s="35" t="s">
        <v>12</v>
      </c>
      <c r="G24" s="36"/>
      <c r="H24" s="33"/>
      <c r="I24" s="5"/>
      <c r="J24" s="34" t="str">
        <f>IF(SUM(J26:J30)&gt;100%,"suma&gt;100%",IF(SUM(J26:J30)&lt;100%,"suma&lt;100%","OK %"))</f>
        <v>OK %</v>
      </c>
      <c r="K24" s="35"/>
      <c r="L24" s="35" t="s">
        <v>12</v>
      </c>
      <c r="M24" s="28"/>
      <c r="N24" s="28"/>
      <c r="O24" s="28"/>
      <c r="P24" s="28"/>
      <c r="Q24" s="28"/>
    </row>
    <row r="25" ht="15.0" customHeight="1">
      <c r="A25" s="55"/>
      <c r="B25" s="33" t="s">
        <v>13</v>
      </c>
      <c r="C25" s="5"/>
      <c r="D25" s="35" t="s">
        <v>14</v>
      </c>
      <c r="E25" s="35" t="s">
        <v>15</v>
      </c>
      <c r="F25" s="37">
        <f>IFERROR(ROUND(SUMPRODUCT(D26:D30,E26:E30)/(SUMIF(E26:E30,"&gt;0",D26:D30)),0),"")</f>
        <v>49</v>
      </c>
      <c r="G25" s="36"/>
      <c r="H25" s="33" t="s">
        <v>13</v>
      </c>
      <c r="I25" s="5"/>
      <c r="J25" s="35" t="s">
        <v>14</v>
      </c>
      <c r="K25" s="35" t="s">
        <v>15</v>
      </c>
      <c r="L25" s="37">
        <f>IFERROR(ROUND(SUMPRODUCT(J26:J30,K26:K30)/(SUMIF(K26:K30,"&gt;0",J26:J30)),0),"")</f>
        <v>69</v>
      </c>
      <c r="M25" s="28"/>
      <c r="N25" s="28"/>
      <c r="O25" s="28"/>
      <c r="P25" s="28"/>
      <c r="Q25" s="28"/>
    </row>
    <row r="26" ht="15.0" customHeight="1">
      <c r="A26" s="56"/>
      <c r="B26" s="38" t="s">
        <v>16</v>
      </c>
      <c r="C26" s="5"/>
      <c r="D26" s="39">
        <v>0.2</v>
      </c>
      <c r="E26" s="45">
        <v>38.0</v>
      </c>
      <c r="F26" s="41"/>
      <c r="G26" s="36"/>
      <c r="H26" s="42" t="s">
        <v>17</v>
      </c>
      <c r="I26" s="5"/>
      <c r="J26" s="39">
        <v>0.2</v>
      </c>
      <c r="K26" s="45">
        <v>70.0</v>
      </c>
      <c r="L26" s="41"/>
      <c r="M26" s="28"/>
      <c r="N26" s="28"/>
      <c r="O26" s="28"/>
      <c r="P26" s="28"/>
      <c r="Q26" s="28"/>
    </row>
    <row r="27" ht="15.0" customHeight="1">
      <c r="A27" s="56"/>
      <c r="B27" s="38" t="s">
        <v>18</v>
      </c>
      <c r="C27" s="5"/>
      <c r="D27" s="39">
        <v>0.2</v>
      </c>
      <c r="E27" s="45">
        <v>54.0</v>
      </c>
      <c r="F27" s="35" t="s">
        <v>19</v>
      </c>
      <c r="G27" s="36"/>
      <c r="H27" s="42" t="s">
        <v>20</v>
      </c>
      <c r="I27" s="5"/>
      <c r="J27" s="39">
        <v>0.2</v>
      </c>
      <c r="K27" s="45">
        <v>70.0</v>
      </c>
      <c r="L27" s="35" t="s">
        <v>19</v>
      </c>
      <c r="M27" s="28"/>
      <c r="N27" s="28"/>
      <c r="O27" s="28"/>
      <c r="P27" s="28"/>
      <c r="Q27" s="28"/>
    </row>
    <row r="28" ht="15.0" customHeight="1">
      <c r="A28" s="2"/>
      <c r="B28" s="38" t="s">
        <v>21</v>
      </c>
      <c r="C28" s="5"/>
      <c r="D28" s="39">
        <v>0.2</v>
      </c>
      <c r="E28" s="45">
        <v>49.0</v>
      </c>
      <c r="F28" s="47">
        <f>IFERROR(IF(F25="","",IF(((39.5-SUMPRODUCT(D26:D30,E26:E30))/(1-(SUMIF(E26:E30,"&gt;0",D26:D30))))&lt;10,10,(39.5-SUMPRODUCT(D26:D30,E26:E30))/(1-(SUMIF(E26:E30,"&gt;0",D26:D30))))),"Curso completado")</f>
        <v>4.23338E+16</v>
      </c>
      <c r="G28" s="36"/>
      <c r="H28" s="42" t="s">
        <v>22</v>
      </c>
      <c r="I28" s="5"/>
      <c r="J28" s="39">
        <v>0.2</v>
      </c>
      <c r="K28" s="45">
        <v>70.0</v>
      </c>
      <c r="L28" s="47" t="str">
        <f>IFERROR(IF(L25="","",IF(((39.5-SUMPRODUCT(J26:J30,K26:K30))/(1-(SUMIF(K26:K30,"&gt;0",J26:J30))))&lt;10,10,(39.5-SUMPRODUCT(J26:J30,K26:K30))/(1-(SUMIF(K26:K30,"&gt;0",J26:J30))))),"Curso completado")</f>
        <v>Curso completado</v>
      </c>
      <c r="M28" s="28"/>
      <c r="N28" s="28"/>
      <c r="O28" s="28"/>
      <c r="P28" s="28"/>
      <c r="Q28" s="28"/>
    </row>
    <row r="29" ht="15.0" customHeight="1">
      <c r="A29" s="48"/>
      <c r="B29" s="49" t="s">
        <v>23</v>
      </c>
      <c r="C29" s="5"/>
      <c r="D29" s="50">
        <v>0.3</v>
      </c>
      <c r="E29" s="45">
        <v>46.0</v>
      </c>
      <c r="F29" s="41"/>
      <c r="G29" s="36"/>
      <c r="H29" s="42" t="s">
        <v>24</v>
      </c>
      <c r="I29" s="5"/>
      <c r="J29" s="57">
        <v>0.2</v>
      </c>
      <c r="K29" s="40">
        <v>63.0</v>
      </c>
      <c r="L29" s="41"/>
      <c r="M29" s="28"/>
      <c r="N29" s="28"/>
      <c r="O29" s="28"/>
      <c r="P29" s="28"/>
      <c r="Q29" s="28"/>
    </row>
    <row r="30" ht="15.0" customHeight="1">
      <c r="A30" s="48"/>
      <c r="B30" s="49" t="s">
        <v>25</v>
      </c>
      <c r="C30" s="5"/>
      <c r="D30" s="50">
        <v>0.1</v>
      </c>
      <c r="E30" s="51">
        <f>L25</f>
        <v>69</v>
      </c>
      <c r="F30" s="52"/>
      <c r="G30" s="36"/>
      <c r="H30" s="42" t="s">
        <v>27</v>
      </c>
      <c r="I30" s="5"/>
      <c r="J30" s="58">
        <v>0.2</v>
      </c>
      <c r="K30" s="40">
        <v>70.0</v>
      </c>
      <c r="L30" s="52"/>
      <c r="M30" s="28"/>
      <c r="N30" s="28"/>
      <c r="O30" s="28"/>
      <c r="P30" s="28"/>
      <c r="Q30" s="28"/>
    </row>
    <row r="31" ht="15.0" customHeight="1">
      <c r="A31" s="2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</row>
    <row r="32" ht="15.0" customHeight="1">
      <c r="A32" s="2"/>
      <c r="B32" s="25" t="str">
        <f>B7</f>
        <v>Química </v>
      </c>
      <c r="C32" s="16"/>
      <c r="D32" s="16"/>
      <c r="E32" s="17"/>
      <c r="F32" s="26" t="s">
        <v>10</v>
      </c>
      <c r="G32" s="28"/>
      <c r="H32" s="25" t="s">
        <v>28</v>
      </c>
      <c r="I32" s="16"/>
      <c r="J32" s="16"/>
      <c r="K32" s="17"/>
      <c r="L32" s="26" t="s">
        <v>10</v>
      </c>
      <c r="M32" s="28"/>
      <c r="N32" s="25" t="s">
        <v>29</v>
      </c>
      <c r="O32" s="16"/>
      <c r="P32" s="16"/>
      <c r="Q32" s="17"/>
      <c r="R32" s="26" t="s">
        <v>10</v>
      </c>
      <c r="S32" s="59"/>
    </row>
    <row r="33" ht="15.0" customHeight="1">
      <c r="A33" s="2"/>
      <c r="B33" s="29"/>
      <c r="C33" s="30"/>
      <c r="D33" s="30"/>
      <c r="E33" s="31"/>
      <c r="F33" s="32">
        <v>10.0</v>
      </c>
      <c r="G33" s="28"/>
      <c r="H33" s="29"/>
      <c r="I33" s="30"/>
      <c r="J33" s="30"/>
      <c r="K33" s="31"/>
      <c r="L33" s="32"/>
      <c r="M33" s="28"/>
      <c r="N33" s="29"/>
      <c r="O33" s="30"/>
      <c r="P33" s="30"/>
      <c r="Q33" s="31"/>
      <c r="R33" s="32"/>
      <c r="S33" s="60"/>
    </row>
    <row r="34" ht="15.0" customHeight="1">
      <c r="A34" s="2"/>
      <c r="B34" s="61"/>
      <c r="C34" s="5"/>
      <c r="D34" s="62" t="str">
        <f>IF(SUM(D36:D43)&gt;100%,"suma&gt;100%",IF(SUM(D36:D43)&lt;100%,"suma&lt;100%","OK %"))</f>
        <v>OK %</v>
      </c>
      <c r="E34" s="63"/>
      <c r="F34" s="63" t="s">
        <v>12</v>
      </c>
      <c r="G34" s="28"/>
      <c r="H34" s="61"/>
      <c r="I34" s="5"/>
      <c r="J34" s="62" t="str">
        <f>IF(SUM(J36:J44)&gt;100%,"suma&gt;100%",IF(SUM(J36:J44)&lt;100%,"suma&lt;100%","OK %"))</f>
        <v>OK %</v>
      </c>
      <c r="K34" s="63"/>
      <c r="L34" s="63" t="s">
        <v>12</v>
      </c>
      <c r="M34" s="28"/>
      <c r="N34" s="61"/>
      <c r="O34" s="5"/>
      <c r="P34" s="62" t="str">
        <f>IF(SUM(P36:P44)&gt;100%,"suma&gt;100%",IF(SUM(P36:P44)&lt;100%,"suma&lt;100%","OK %"))</f>
        <v>OK %</v>
      </c>
      <c r="Q34" s="63"/>
      <c r="R34" s="63" t="s">
        <v>12</v>
      </c>
      <c r="S34" s="64"/>
    </row>
    <row r="35" ht="15.0" customHeight="1">
      <c r="A35" s="55"/>
      <c r="B35" s="33" t="s">
        <v>13</v>
      </c>
      <c r="C35" s="5"/>
      <c r="D35" s="35" t="s">
        <v>14</v>
      </c>
      <c r="E35" s="35" t="s">
        <v>15</v>
      </c>
      <c r="F35" s="65">
        <v>47.0</v>
      </c>
      <c r="G35" s="28"/>
      <c r="H35" s="33" t="s">
        <v>13</v>
      </c>
      <c r="I35" s="5"/>
      <c r="J35" s="35" t="s">
        <v>14</v>
      </c>
      <c r="K35" s="35" t="s">
        <v>15</v>
      </c>
      <c r="L35" s="37">
        <f>IFERROR(ROUND(SUMPRODUCT(J36:J44,K36:K44)/(SUMIF(K36:K44,"&gt;0",J36:J44)),0),"")</f>
        <v>55</v>
      </c>
      <c r="M35" s="28"/>
      <c r="N35" s="33" t="s">
        <v>13</v>
      </c>
      <c r="O35" s="5"/>
      <c r="P35" s="35" t="s">
        <v>14</v>
      </c>
      <c r="Q35" s="35" t="s">
        <v>15</v>
      </c>
      <c r="R35" s="37">
        <f>IFERROR(ROUND(SUMPRODUCT(P36:P44,Q36:Q44)/(SUMIF(Q36:Q44,"&gt;0",P36:P44)),0),"")</f>
        <v>10</v>
      </c>
      <c r="S35" s="66"/>
    </row>
    <row r="36" ht="15.0" customHeight="1">
      <c r="A36" s="56"/>
      <c r="B36" s="67" t="s">
        <v>16</v>
      </c>
      <c r="C36" s="5"/>
      <c r="D36" s="68">
        <v>0.315</v>
      </c>
      <c r="E36" s="45">
        <v>51.0</v>
      </c>
      <c r="F36" s="41"/>
      <c r="G36" s="28"/>
      <c r="H36" s="69" t="s">
        <v>30</v>
      </c>
      <c r="I36" s="5"/>
      <c r="J36" s="70">
        <v>0.15</v>
      </c>
      <c r="K36" s="45">
        <v>54.0</v>
      </c>
      <c r="L36" s="41"/>
      <c r="M36" s="28"/>
      <c r="N36" s="69" t="s">
        <v>31</v>
      </c>
      <c r="O36" s="5"/>
      <c r="P36" s="71">
        <v>0.25</v>
      </c>
      <c r="Q36" s="45">
        <v>10.0</v>
      </c>
      <c r="R36" s="41"/>
      <c r="S36" s="66"/>
    </row>
    <row r="37" ht="15.0" customHeight="1">
      <c r="A37" s="56"/>
      <c r="B37" s="67" t="s">
        <v>18</v>
      </c>
      <c r="C37" s="5"/>
      <c r="D37" s="68">
        <v>0.315</v>
      </c>
      <c r="E37" s="45">
        <v>37.0</v>
      </c>
      <c r="F37" s="63" t="s">
        <v>19</v>
      </c>
      <c r="G37" s="28"/>
      <c r="H37" s="69" t="s">
        <v>32</v>
      </c>
      <c r="I37" s="5"/>
      <c r="J37" s="70">
        <v>0.15</v>
      </c>
      <c r="K37" s="45">
        <v>51.0</v>
      </c>
      <c r="L37" s="63" t="s">
        <v>19</v>
      </c>
      <c r="M37" s="28"/>
      <c r="N37" s="69" t="s">
        <v>33</v>
      </c>
      <c r="O37" s="5"/>
      <c r="P37" s="70">
        <v>0.25</v>
      </c>
      <c r="Q37" s="45">
        <v>10.0</v>
      </c>
      <c r="R37" s="63" t="s">
        <v>19</v>
      </c>
      <c r="S37" s="64"/>
    </row>
    <row r="38" ht="15.0" customHeight="1">
      <c r="A38" s="2"/>
      <c r="B38" s="67" t="s">
        <v>34</v>
      </c>
      <c r="C38" s="5"/>
      <c r="D38" s="68">
        <v>0.07</v>
      </c>
      <c r="E38" s="51">
        <f>R35</f>
        <v>10</v>
      </c>
      <c r="F38" s="72" t="str">
        <f>IFERROR(IF(F35="","",IF(((39.5-SUMPRODUCT(D36:D43,E36:E43))/(1-(SUMIF(E36:E43,"&gt;0",D36:D43))))&lt;10,10,(39.5-SUMPRODUCT(D36:D43,E36:E43))/(1-(SUMAR..SI(E36:E43,"&gt;0",D36:D43))))),"Curso completado")</f>
        <v>Curso completado</v>
      </c>
      <c r="G38" s="28"/>
      <c r="H38" s="69" t="s">
        <v>35</v>
      </c>
      <c r="I38" s="5"/>
      <c r="J38" s="70">
        <v>0.15</v>
      </c>
      <c r="K38" s="45">
        <v>57.0</v>
      </c>
      <c r="L38" s="72">
        <f>IFERROR(IF(L35="","",IF(((39.5-SUMPRODUCT(J36:J44,K36:K44))/(1-(SUMIF(K36:K44,"&gt;0",J36:J44))))&lt;10,10,(39.5-SUMPRODUCT(J36:J44,K36:K44))/(1-(SUMIF(K36:K44,"&gt;0",J36:J44))))),"Curso completado")</f>
        <v>10</v>
      </c>
      <c r="M38" s="28"/>
      <c r="N38" s="69" t="s">
        <v>36</v>
      </c>
      <c r="O38" s="5"/>
      <c r="P38" s="70">
        <v>0.25</v>
      </c>
      <c r="Q38" s="45">
        <v>10.0</v>
      </c>
      <c r="R38" s="72" t="str">
        <f>IFERROR(IF(R35="","",IF(((39.5-SUMPRODUCT(P36:P44,Q36:Q44))/(1-(SUMIF(Q36:Q44,"&gt;0",P36:P44))))&lt;10,10,(39.5-SUMPRODUCT(P36:P44,Q36:Q44))/(1-(SUMIF(Q36:Q44,"&gt;0",P36:P44))))),"Curso completado")</f>
        <v>Curso completado</v>
      </c>
      <c r="S38" s="73"/>
    </row>
    <row r="39" ht="15.0" customHeight="1">
      <c r="A39" s="74"/>
      <c r="B39" s="75" t="s">
        <v>37</v>
      </c>
      <c r="C39" s="5"/>
      <c r="D39" s="76">
        <v>0.3</v>
      </c>
      <c r="E39" s="40">
        <v>49.0</v>
      </c>
      <c r="F39" s="41"/>
      <c r="G39" s="77"/>
      <c r="H39" s="69" t="s">
        <v>38</v>
      </c>
      <c r="I39" s="5"/>
      <c r="J39" s="70">
        <v>0.15</v>
      </c>
      <c r="K39" s="45">
        <v>48.0</v>
      </c>
      <c r="L39" s="41"/>
      <c r="M39" s="28"/>
      <c r="N39" s="69" t="s">
        <v>39</v>
      </c>
      <c r="O39" s="5"/>
      <c r="P39" s="70">
        <v>0.25</v>
      </c>
      <c r="Q39" s="45">
        <v>10.0</v>
      </c>
      <c r="R39" s="41"/>
      <c r="S39" s="73"/>
    </row>
    <row r="40" ht="15.0" customHeight="1">
      <c r="A40" s="74"/>
      <c r="B40" s="75"/>
      <c r="C40" s="5"/>
      <c r="D40" s="50"/>
      <c r="E40" s="53"/>
      <c r="F40" s="78"/>
      <c r="G40" s="28"/>
      <c r="H40" s="69"/>
      <c r="I40" s="5"/>
      <c r="J40" s="71"/>
      <c r="K40" s="53"/>
      <c r="L40" s="78"/>
      <c r="M40" s="28"/>
      <c r="N40" s="69"/>
      <c r="O40" s="5"/>
      <c r="P40" s="79"/>
      <c r="Q40" s="53"/>
      <c r="R40" s="78"/>
      <c r="S40" s="64"/>
    </row>
    <row r="41" ht="15.0" customHeight="1">
      <c r="A41" s="74"/>
      <c r="B41" s="80"/>
      <c r="C41" s="5"/>
      <c r="D41" s="81"/>
      <c r="E41" s="45"/>
      <c r="F41" s="82"/>
      <c r="G41" s="28"/>
      <c r="H41" s="69" t="s">
        <v>40</v>
      </c>
      <c r="I41" s="5"/>
      <c r="J41" s="79">
        <v>0.1</v>
      </c>
      <c r="K41" s="45">
        <v>70.0</v>
      </c>
      <c r="L41" s="82"/>
      <c r="M41" s="28"/>
      <c r="N41" s="69"/>
      <c r="O41" s="5"/>
      <c r="P41" s="79"/>
      <c r="Q41" s="53"/>
      <c r="R41" s="82"/>
      <c r="S41" s="64"/>
    </row>
    <row r="42" ht="15.0" customHeight="1">
      <c r="A42" s="74"/>
      <c r="B42" s="80"/>
      <c r="C42" s="5"/>
      <c r="D42" s="83"/>
      <c r="E42" s="45"/>
      <c r="F42" s="82"/>
      <c r="G42" s="28"/>
      <c r="H42" s="69" t="s">
        <v>41</v>
      </c>
      <c r="I42" s="5"/>
      <c r="J42" s="79">
        <v>0.1</v>
      </c>
      <c r="K42" s="45">
        <v>60.0</v>
      </c>
      <c r="L42" s="82"/>
      <c r="M42" s="28"/>
      <c r="N42" s="69"/>
      <c r="O42" s="5"/>
      <c r="P42" s="79"/>
      <c r="Q42" s="53"/>
      <c r="R42" s="82"/>
      <c r="S42" s="64"/>
    </row>
    <row r="43" ht="15.75" customHeight="1">
      <c r="A43" s="74"/>
      <c r="B43" s="75"/>
      <c r="C43" s="5"/>
      <c r="D43" s="50"/>
      <c r="E43" s="53"/>
      <c r="F43" s="82"/>
      <c r="G43" s="28"/>
      <c r="H43" s="69" t="s">
        <v>42</v>
      </c>
      <c r="I43" s="5"/>
      <c r="J43" s="79">
        <v>0.1</v>
      </c>
      <c r="K43" s="45">
        <v>45.0</v>
      </c>
      <c r="L43" s="82"/>
      <c r="M43" s="28"/>
      <c r="N43" s="69"/>
      <c r="O43" s="5"/>
      <c r="P43" s="79"/>
      <c r="Q43" s="53"/>
      <c r="R43" s="82"/>
      <c r="S43" s="64"/>
    </row>
    <row r="44" ht="15.75" customHeight="1">
      <c r="A44" s="74"/>
      <c r="B44" s="75"/>
      <c r="C44" s="5"/>
      <c r="D44" s="50"/>
      <c r="E44" s="53"/>
      <c r="F44" s="41"/>
      <c r="G44" s="28"/>
      <c r="H44" s="69" t="s">
        <v>43</v>
      </c>
      <c r="I44" s="5"/>
      <c r="J44" s="79">
        <v>0.1</v>
      </c>
      <c r="K44" s="45">
        <v>60.0</v>
      </c>
      <c r="L44" s="41"/>
      <c r="M44" s="28"/>
      <c r="N44" s="69"/>
      <c r="O44" s="5"/>
      <c r="P44" s="79"/>
      <c r="Q44" s="53"/>
      <c r="R44" s="41"/>
      <c r="S44" s="64"/>
    </row>
    <row r="45" ht="15.75" customHeight="1">
      <c r="A45" s="74"/>
    </row>
    <row r="46" ht="15.75" customHeight="1">
      <c r="A46" s="74"/>
      <c r="B46" s="25" t="str">
        <f>B6</f>
        <v>Desafíos</v>
      </c>
      <c r="C46" s="16"/>
      <c r="D46" s="16"/>
      <c r="E46" s="17"/>
      <c r="F46" s="26" t="s">
        <v>10</v>
      </c>
    </row>
    <row r="47" ht="15.75" customHeight="1">
      <c r="A47" s="74"/>
      <c r="B47" s="29"/>
      <c r="C47" s="30"/>
      <c r="D47" s="30"/>
      <c r="E47" s="31"/>
      <c r="F47" s="32">
        <v>10.0</v>
      </c>
    </row>
    <row r="48" ht="15.75" customHeight="1">
      <c r="A48" s="74"/>
      <c r="B48" s="61"/>
      <c r="C48" s="5"/>
      <c r="D48" s="62" t="str">
        <f>IF(SUM(D50:D57)&gt;100%,"suma&gt;100%",IF(SUM(D50:D57)&lt;100%,"suma&lt;100%","OK %"))</f>
        <v>OK %</v>
      </c>
      <c r="E48" s="84"/>
      <c r="F48" s="63" t="s">
        <v>12</v>
      </c>
    </row>
    <row r="49" ht="15.75" customHeight="1">
      <c r="A49" s="74"/>
      <c r="B49" s="61" t="s">
        <v>13</v>
      </c>
      <c r="C49" s="5"/>
      <c r="D49" s="35" t="s">
        <v>14</v>
      </c>
      <c r="E49" s="35" t="s">
        <v>15</v>
      </c>
      <c r="F49" s="85">
        <v>56.5</v>
      </c>
    </row>
    <row r="50" ht="15.75" customHeight="1">
      <c r="A50" s="74"/>
      <c r="B50" s="75" t="s">
        <v>44</v>
      </c>
      <c r="C50" s="5"/>
      <c r="D50" s="50">
        <v>0.075</v>
      </c>
      <c r="E50" s="40">
        <v>70.0</v>
      </c>
      <c r="F50" s="41"/>
    </row>
    <row r="51" ht="15.75" customHeight="1">
      <c r="A51" s="74"/>
      <c r="B51" s="75" t="s">
        <v>45</v>
      </c>
      <c r="C51" s="5"/>
      <c r="D51" s="50">
        <v>0.3</v>
      </c>
      <c r="E51" s="40">
        <v>60.0</v>
      </c>
      <c r="F51" s="63" t="s">
        <v>19</v>
      </c>
    </row>
    <row r="52" ht="15.75" customHeight="1">
      <c r="A52" s="74"/>
      <c r="B52" s="75" t="s">
        <v>46</v>
      </c>
      <c r="C52" s="5"/>
      <c r="D52" s="50">
        <v>0.125</v>
      </c>
      <c r="E52" s="40">
        <v>57.0</v>
      </c>
      <c r="F52" s="47">
        <f>IFERROR(IF(F49="","",IF(((39.5-SUMPRODUCT(D50:D57,E50:E57))/(1-(SUMIF(E50:E57,"&gt;0",D50:D57))))&lt;10,10,(39.5-SUMPRODUCT(D50:D57,E50:E57))/(1-(SUMIF(E50:E57,"&gt;0",D50:D57))))),"Curso completado")</f>
        <v>10</v>
      </c>
    </row>
    <row r="53" ht="15.75" customHeight="1">
      <c r="A53" s="74"/>
      <c r="B53" s="75" t="s">
        <v>47</v>
      </c>
      <c r="C53" s="5"/>
      <c r="D53" s="50">
        <v>0.125</v>
      </c>
      <c r="E53" s="40">
        <v>50.0</v>
      </c>
      <c r="F53" s="41"/>
    </row>
    <row r="54" ht="15.75" customHeight="1">
      <c r="A54" s="74"/>
      <c r="B54" s="75" t="s">
        <v>48</v>
      </c>
      <c r="C54" s="5"/>
      <c r="D54" s="50">
        <v>0.075</v>
      </c>
      <c r="E54" s="45">
        <v>58.0</v>
      </c>
      <c r="F54" s="86"/>
    </row>
    <row r="55" ht="15.75" customHeight="1">
      <c r="A55" s="74"/>
      <c r="B55" s="75" t="s">
        <v>49</v>
      </c>
      <c r="C55" s="5"/>
      <c r="D55" s="50">
        <v>0.125</v>
      </c>
      <c r="E55" s="45">
        <v>44.0</v>
      </c>
      <c r="F55" s="82"/>
      <c r="K55" s="2"/>
      <c r="P55" s="2"/>
    </row>
    <row r="56" ht="15.75" customHeight="1">
      <c r="A56" s="74"/>
      <c r="B56" s="75" t="s">
        <v>50</v>
      </c>
      <c r="C56" s="5"/>
      <c r="D56" s="50">
        <v>0.075</v>
      </c>
      <c r="E56" s="53"/>
      <c r="F56" s="82"/>
      <c r="K56" s="2"/>
      <c r="P56" s="2"/>
    </row>
    <row r="57" ht="15.75" customHeight="1">
      <c r="A57" s="74"/>
      <c r="B57" s="75" t="s">
        <v>51</v>
      </c>
      <c r="C57" s="5"/>
      <c r="D57" s="50">
        <v>0.1</v>
      </c>
      <c r="E57" s="53"/>
      <c r="F57" s="41"/>
      <c r="K57" s="2"/>
      <c r="P57" s="2"/>
    </row>
    <row r="58" ht="15.75" customHeight="1">
      <c r="A58" s="74"/>
      <c r="K58" s="2"/>
      <c r="P58" s="2"/>
    </row>
    <row r="59" ht="15.75" customHeight="1">
      <c r="A59" s="74"/>
      <c r="B59" s="25" t="str">
        <f>B8</f>
        <v>Filosofía</v>
      </c>
      <c r="C59" s="16"/>
      <c r="D59" s="16"/>
      <c r="E59" s="17"/>
      <c r="F59" s="26" t="s">
        <v>10</v>
      </c>
      <c r="K59" s="2"/>
      <c r="P59" s="2"/>
    </row>
    <row r="60" ht="15.75" customHeight="1">
      <c r="A60" s="74"/>
      <c r="B60" s="29"/>
      <c r="C60" s="30"/>
      <c r="D60" s="30"/>
      <c r="E60" s="31"/>
      <c r="F60" s="32">
        <v>10.0</v>
      </c>
      <c r="K60" s="2"/>
      <c r="P60" s="2"/>
    </row>
    <row r="61" ht="15.75" customHeight="1">
      <c r="A61" s="74"/>
      <c r="B61" s="61"/>
      <c r="C61" s="5"/>
      <c r="D61" s="62" t="str">
        <f>IF(SUM(D63:D67)&gt;100%,"suma&gt;100%",IF(SUM(D63:D67)&lt;100%,"suma&lt;100%","OK %"))</f>
        <v>OK %</v>
      </c>
      <c r="E61" s="84"/>
      <c r="F61" s="63" t="s">
        <v>12</v>
      </c>
      <c r="K61" s="2"/>
      <c r="P61" s="2"/>
    </row>
    <row r="62" ht="15.75" customHeight="1">
      <c r="A62" s="74"/>
      <c r="B62" s="61" t="s">
        <v>13</v>
      </c>
      <c r="C62" s="5"/>
      <c r="D62" s="35" t="s">
        <v>14</v>
      </c>
      <c r="E62" s="35" t="s">
        <v>15</v>
      </c>
      <c r="F62" s="87">
        <v>57.0</v>
      </c>
      <c r="K62" s="2"/>
      <c r="P62" s="2"/>
    </row>
    <row r="63" ht="15.75" customHeight="1">
      <c r="A63" s="74"/>
      <c r="B63" s="67" t="s">
        <v>16</v>
      </c>
      <c r="C63" s="5"/>
      <c r="D63" s="88">
        <v>0.2</v>
      </c>
      <c r="E63" s="40">
        <v>45.0</v>
      </c>
      <c r="F63" s="41"/>
      <c r="K63" s="2"/>
      <c r="P63" s="2"/>
    </row>
    <row r="64" ht="15.75" customHeight="1">
      <c r="A64" s="74"/>
      <c r="B64" s="75" t="s">
        <v>52</v>
      </c>
      <c r="C64" s="5"/>
      <c r="D64" s="83">
        <v>0.4</v>
      </c>
      <c r="E64" s="40">
        <v>59.0</v>
      </c>
      <c r="F64" s="63" t="s">
        <v>19</v>
      </c>
      <c r="K64" s="89"/>
      <c r="P64" s="89"/>
    </row>
    <row r="65" ht="15.75" customHeight="1">
      <c r="A65" s="74"/>
      <c r="B65" s="75" t="s">
        <v>18</v>
      </c>
      <c r="C65" s="5"/>
      <c r="D65" s="83">
        <v>0.4</v>
      </c>
      <c r="E65" s="40">
        <v>65.0</v>
      </c>
      <c r="F65" s="47" t="str">
        <f>IFERROR(IF(F62="","",IF(((39.5-SUMPRODUCT(D63:D67,E63:E67))/(1-(SUMIF(E63:E67,"&gt;0",D63:D67))))&lt;10,10,(39.5-SUMPRODUCT(D63:D67,E63:E67))/(1-(SUMIF(E63:E67,"&gt;0",D63:D67))))),"Curso completado")</f>
        <v>Curso completado</v>
      </c>
      <c r="K65" s="89"/>
      <c r="P65" s="89"/>
    </row>
    <row r="66" ht="15.75" customHeight="1">
      <c r="A66" s="74"/>
      <c r="B66" s="75"/>
      <c r="C66" s="5"/>
      <c r="D66" s="45"/>
      <c r="E66" s="51"/>
      <c r="F66" s="41"/>
      <c r="K66" s="2"/>
      <c r="P66" s="2"/>
    </row>
    <row r="67" ht="15.75" customHeight="1">
      <c r="A67" s="74"/>
      <c r="B67" s="14"/>
      <c r="D67" s="90"/>
      <c r="E67" s="91"/>
      <c r="F67" s="14"/>
      <c r="K67" s="92"/>
      <c r="L67" s="92"/>
      <c r="M67" s="92"/>
      <c r="N67" s="92"/>
      <c r="O67" s="92"/>
      <c r="P67" s="2"/>
    </row>
  </sheetData>
  <mergeCells count="118">
    <mergeCell ref="H20:I20"/>
    <mergeCell ref="H21:I21"/>
    <mergeCell ref="H22:K23"/>
    <mergeCell ref="H24:I24"/>
    <mergeCell ref="H25:I25"/>
    <mergeCell ref="L25:L26"/>
    <mergeCell ref="H26:I26"/>
    <mergeCell ref="H27:I27"/>
    <mergeCell ref="H28:I28"/>
    <mergeCell ref="L28:L29"/>
    <mergeCell ref="H29:I29"/>
    <mergeCell ref="H30:I30"/>
    <mergeCell ref="H32:K33"/>
    <mergeCell ref="H34:I34"/>
    <mergeCell ref="N32:Q33"/>
    <mergeCell ref="N34:O34"/>
    <mergeCell ref="L35:L36"/>
    <mergeCell ref="N35:O35"/>
    <mergeCell ref="R35:R36"/>
    <mergeCell ref="N36:O36"/>
    <mergeCell ref="R38:R39"/>
    <mergeCell ref="N43:O43"/>
    <mergeCell ref="N44:O44"/>
    <mergeCell ref="L38:L39"/>
    <mergeCell ref="N39:O39"/>
    <mergeCell ref="L40:L44"/>
    <mergeCell ref="N40:O40"/>
    <mergeCell ref="R40:R44"/>
    <mergeCell ref="N41:O41"/>
    <mergeCell ref="N42:O42"/>
    <mergeCell ref="B2:F2"/>
    <mergeCell ref="B3:D3"/>
    <mergeCell ref="B4:D4"/>
    <mergeCell ref="B5:D5"/>
    <mergeCell ref="B6:D6"/>
    <mergeCell ref="B7:D7"/>
    <mergeCell ref="B8:D8"/>
    <mergeCell ref="B9:D9"/>
    <mergeCell ref="B12:E13"/>
    <mergeCell ref="H12:K13"/>
    <mergeCell ref="B14:C14"/>
    <mergeCell ref="H14:I14"/>
    <mergeCell ref="B15:C15"/>
    <mergeCell ref="F15:F16"/>
    <mergeCell ref="H15:I15"/>
    <mergeCell ref="L15:L16"/>
    <mergeCell ref="H16:I16"/>
    <mergeCell ref="H17:I17"/>
    <mergeCell ref="H18:I18"/>
    <mergeCell ref="L18:L19"/>
    <mergeCell ref="H19:I19"/>
    <mergeCell ref="B16:C16"/>
    <mergeCell ref="B17:C17"/>
    <mergeCell ref="B18:C18"/>
    <mergeCell ref="F18:F19"/>
    <mergeCell ref="B19:C19"/>
    <mergeCell ref="B20:C20"/>
    <mergeCell ref="B22:E23"/>
    <mergeCell ref="B37:C37"/>
    <mergeCell ref="B38:C38"/>
    <mergeCell ref="N37:O37"/>
    <mergeCell ref="N38:O38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H41:I41"/>
    <mergeCell ref="B44:C44"/>
    <mergeCell ref="B46:E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9:E60"/>
    <mergeCell ref="B61:C61"/>
    <mergeCell ref="B24:C24"/>
    <mergeCell ref="B25:C25"/>
    <mergeCell ref="F25:F26"/>
    <mergeCell ref="B26:C26"/>
    <mergeCell ref="B27:C27"/>
    <mergeCell ref="B28:C28"/>
    <mergeCell ref="F28:F29"/>
    <mergeCell ref="B36:C36"/>
    <mergeCell ref="B39:C39"/>
    <mergeCell ref="B40:C40"/>
    <mergeCell ref="B35:C35"/>
    <mergeCell ref="B41:C41"/>
    <mergeCell ref="B42:C42"/>
    <mergeCell ref="B43:C43"/>
    <mergeCell ref="B45:C45"/>
    <mergeCell ref="B29:C29"/>
    <mergeCell ref="B30:C30"/>
    <mergeCell ref="B32:E33"/>
    <mergeCell ref="B34:C34"/>
    <mergeCell ref="F35:F36"/>
    <mergeCell ref="F38:F39"/>
    <mergeCell ref="F40:F44"/>
    <mergeCell ref="F49:F50"/>
    <mergeCell ref="F52:F53"/>
    <mergeCell ref="F54:F57"/>
    <mergeCell ref="F62:F63"/>
    <mergeCell ref="F65:F66"/>
    <mergeCell ref="B62:C62"/>
    <mergeCell ref="B63:C63"/>
    <mergeCell ref="B64:C64"/>
    <mergeCell ref="B65:C65"/>
    <mergeCell ref="B66:C66"/>
  </mergeCells>
  <conditionalFormatting sqref="D14 D24 D34 D48 D61">
    <cfRule type="containsText" dxfId="0" priority="1" operator="containsText" text="&gt;">
      <formula>NOT(ISERROR(SEARCH(("&gt;"),(D14))))</formula>
    </cfRule>
  </conditionalFormatting>
  <conditionalFormatting sqref="D14 D24 D34 D48 D61">
    <cfRule type="containsText" dxfId="1" priority="2" operator="containsText" text="&lt;">
      <formula>NOT(ISERROR(SEARCH(("&lt;"),(D14))))</formula>
    </cfRule>
  </conditionalFormatting>
  <conditionalFormatting sqref="D14 D24 D34 D48 D61">
    <cfRule type="containsText" dxfId="2" priority="3" operator="containsText" text="OK">
      <formula>NOT(ISERROR(SEARCH(("OK"),(D14))))</formula>
    </cfRule>
  </conditionalFormatting>
  <conditionalFormatting sqref="D14">
    <cfRule type="containsText" dxfId="0" priority="4" operator="containsText" text="&gt;">
      <formula>NOT(ISERROR(SEARCH(("&gt;"),(D14))))</formula>
    </cfRule>
  </conditionalFormatting>
  <conditionalFormatting sqref="D14">
    <cfRule type="containsText" dxfId="1" priority="5" operator="containsText" text="&lt;">
      <formula>NOT(ISERROR(SEARCH(("&lt;"),(D14))))</formula>
    </cfRule>
  </conditionalFormatting>
  <conditionalFormatting sqref="D14">
    <cfRule type="containsText" dxfId="2" priority="6" operator="containsText" text="OK">
      <formula>NOT(ISERROR(SEARCH(("OK"),(D14))))</formula>
    </cfRule>
  </conditionalFormatting>
  <conditionalFormatting sqref="J14 J24 J34">
    <cfRule type="containsText" dxfId="0" priority="7" operator="containsText" text="&gt;">
      <formula>NOT(ISERROR(SEARCH(("&gt;"),(J14))))</formula>
    </cfRule>
  </conditionalFormatting>
  <conditionalFormatting sqref="J14 J24 J34">
    <cfRule type="containsText" dxfId="1" priority="8" operator="containsText" text="&lt;">
      <formula>NOT(ISERROR(SEARCH(("&lt;"),(J14))))</formula>
    </cfRule>
  </conditionalFormatting>
  <conditionalFormatting sqref="J14 J24 J34">
    <cfRule type="containsText" dxfId="2" priority="9" operator="containsText" text="OK">
      <formula>NOT(ISERROR(SEARCH(("OK"),(J14))))</formula>
    </cfRule>
  </conditionalFormatting>
  <conditionalFormatting sqref="J14">
    <cfRule type="containsText" dxfId="0" priority="10" operator="containsText" text="&gt;">
      <formula>NOT(ISERROR(SEARCH(("&gt;"),(J14))))</formula>
    </cfRule>
  </conditionalFormatting>
  <conditionalFormatting sqref="J14">
    <cfRule type="containsText" dxfId="1" priority="11" operator="containsText" text="&lt;">
      <formula>NOT(ISERROR(SEARCH(("&lt;"),(J14))))</formula>
    </cfRule>
  </conditionalFormatting>
  <conditionalFormatting sqref="J14">
    <cfRule type="containsText" dxfId="2" priority="12" operator="containsText" text="OK">
      <formula>NOT(ISERROR(SEARCH(("OK"),(J14))))</formula>
    </cfRule>
  </conditionalFormatting>
  <conditionalFormatting sqref="F15:F16 F25:F26 F35:F36 F49:F50 F62:F63">
    <cfRule type="cellIs" dxfId="3" priority="13" operator="lessThan">
      <formula>40</formula>
    </cfRule>
  </conditionalFormatting>
  <conditionalFormatting sqref="F15:F16 F25:F26 F35:F36 F49:F50 F62:F63">
    <cfRule type="cellIs" dxfId="4" priority="14" operator="between">
      <formula>45</formula>
      <formula>40</formula>
    </cfRule>
  </conditionalFormatting>
  <conditionalFormatting sqref="F18">
    <cfRule type="cellIs" dxfId="5" priority="15" operator="notBetween">
      <formula>0</formula>
      <formula>1000</formula>
    </cfRule>
  </conditionalFormatting>
  <conditionalFormatting sqref="F18">
    <cfRule type="cellIs" dxfId="6" priority="16" operator="between">
      <formula>30</formula>
      <formula>35</formula>
    </cfRule>
  </conditionalFormatting>
  <conditionalFormatting sqref="F18">
    <cfRule type="cellIs" dxfId="7" priority="17" operator="lessThanOrEqual">
      <formula>20</formula>
    </cfRule>
  </conditionalFormatting>
  <conditionalFormatting sqref="F18">
    <cfRule type="cellIs" dxfId="1" priority="18" operator="greaterThan">
      <formula>35</formula>
    </cfRule>
  </conditionalFormatting>
  <conditionalFormatting sqref="F18">
    <cfRule type="cellIs" dxfId="8" priority="19" operator="between">
      <formula>20</formula>
      <formula>30</formula>
    </cfRule>
  </conditionalFormatting>
  <conditionalFormatting sqref="L15">
    <cfRule type="cellIs" dxfId="3" priority="20" operator="lessThan">
      <formula>40</formula>
    </cfRule>
  </conditionalFormatting>
  <conditionalFormatting sqref="L15">
    <cfRule type="cellIs" dxfId="4" priority="21" operator="between">
      <formula>45</formula>
      <formula>40</formula>
    </cfRule>
  </conditionalFormatting>
  <conditionalFormatting sqref="L15">
    <cfRule type="cellIs" dxfId="9" priority="22" operator="greaterThan">
      <formula>45</formula>
    </cfRule>
  </conditionalFormatting>
  <conditionalFormatting sqref="L18">
    <cfRule type="cellIs" dxfId="5" priority="23" operator="notBetween">
      <formula>0</formula>
      <formula>1000</formula>
    </cfRule>
  </conditionalFormatting>
  <conditionalFormatting sqref="L18">
    <cfRule type="cellIs" dxfId="6" priority="24" operator="between">
      <formula>30</formula>
      <formula>35</formula>
    </cfRule>
  </conditionalFormatting>
  <conditionalFormatting sqref="L18">
    <cfRule type="cellIs" dxfId="7" priority="25" operator="lessThanOrEqual">
      <formula>20</formula>
    </cfRule>
  </conditionalFormatting>
  <conditionalFormatting sqref="L18">
    <cfRule type="cellIs" dxfId="1" priority="26" operator="greaterThan">
      <formula>35</formula>
    </cfRule>
  </conditionalFormatting>
  <conditionalFormatting sqref="L18">
    <cfRule type="cellIs" dxfId="8" priority="27" operator="between">
      <formula>20</formula>
      <formula>30</formula>
    </cfRule>
  </conditionalFormatting>
  <conditionalFormatting sqref="J24">
    <cfRule type="containsText" dxfId="0" priority="28" operator="containsText" text="&gt;">
      <formula>NOT(ISERROR(SEARCH(("&gt;"),(J24))))</formula>
    </cfRule>
  </conditionalFormatting>
  <conditionalFormatting sqref="J24">
    <cfRule type="containsText" dxfId="1" priority="29" operator="containsText" text="&lt;">
      <formula>NOT(ISERROR(SEARCH(("&lt;"),(J24))))</formula>
    </cfRule>
  </conditionalFormatting>
  <conditionalFormatting sqref="J24">
    <cfRule type="containsText" dxfId="2" priority="30" operator="containsText" text="OK">
      <formula>NOT(ISERROR(SEARCH(("OK"),(J24))))</formula>
    </cfRule>
  </conditionalFormatting>
  <conditionalFormatting sqref="F28">
    <cfRule type="cellIs" dxfId="5" priority="31" operator="notBetween">
      <formula>0</formula>
      <formula>1000</formula>
    </cfRule>
  </conditionalFormatting>
  <conditionalFormatting sqref="F28">
    <cfRule type="cellIs" dxfId="6" priority="32" operator="between">
      <formula>30</formula>
      <formula>35</formula>
    </cfRule>
  </conditionalFormatting>
  <conditionalFormatting sqref="F28">
    <cfRule type="cellIs" dxfId="7" priority="33" operator="lessThanOrEqual">
      <formula>20</formula>
    </cfRule>
  </conditionalFormatting>
  <conditionalFormatting sqref="F28">
    <cfRule type="cellIs" dxfId="1" priority="34" operator="greaterThan">
      <formula>35</formula>
    </cfRule>
  </conditionalFormatting>
  <conditionalFormatting sqref="F28">
    <cfRule type="cellIs" dxfId="8" priority="35" operator="between">
      <formula>20</formula>
      <formula>30</formula>
    </cfRule>
  </conditionalFormatting>
  <conditionalFormatting sqref="L25:L26">
    <cfRule type="cellIs" dxfId="3" priority="36" operator="lessThan">
      <formula>40</formula>
    </cfRule>
  </conditionalFormatting>
  <conditionalFormatting sqref="L25:L26">
    <cfRule type="cellIs" dxfId="4" priority="37" operator="between">
      <formula>45</formula>
      <formula>40</formula>
    </cfRule>
  </conditionalFormatting>
  <conditionalFormatting sqref="L25:L26">
    <cfRule type="cellIs" dxfId="9" priority="38" operator="greaterThan">
      <formula>45</formula>
    </cfRule>
  </conditionalFormatting>
  <conditionalFormatting sqref="L28">
    <cfRule type="cellIs" dxfId="5" priority="39" operator="notBetween">
      <formula>0</formula>
      <formula>1000</formula>
    </cfRule>
  </conditionalFormatting>
  <conditionalFormatting sqref="L28">
    <cfRule type="cellIs" dxfId="6" priority="40" operator="between">
      <formula>30</formula>
      <formula>35</formula>
    </cfRule>
  </conditionalFormatting>
  <conditionalFormatting sqref="L28">
    <cfRule type="cellIs" dxfId="7" priority="41" operator="lessThanOrEqual">
      <formula>20</formula>
    </cfRule>
  </conditionalFormatting>
  <conditionalFormatting sqref="L28">
    <cfRule type="cellIs" dxfId="1" priority="42" operator="greaterThan">
      <formula>35</formula>
    </cfRule>
  </conditionalFormatting>
  <conditionalFormatting sqref="L28">
    <cfRule type="cellIs" dxfId="8" priority="43" operator="between">
      <formula>20</formula>
      <formula>30</formula>
    </cfRule>
  </conditionalFormatting>
  <conditionalFormatting sqref="D48">
    <cfRule type="containsText" dxfId="0" priority="44" operator="containsText" text="&gt;">
      <formula>NOT(ISERROR(SEARCH(("&gt;"),(D48))))</formula>
    </cfRule>
  </conditionalFormatting>
  <conditionalFormatting sqref="D48">
    <cfRule type="containsText" dxfId="1" priority="45" operator="containsText" text="&lt;">
      <formula>NOT(ISERROR(SEARCH(("&lt;"),(D48))))</formula>
    </cfRule>
  </conditionalFormatting>
  <conditionalFormatting sqref="D48">
    <cfRule type="containsText" dxfId="2" priority="46" operator="containsText" text="OK">
      <formula>NOT(ISERROR(SEARCH(("OK"),(D48))))</formula>
    </cfRule>
  </conditionalFormatting>
  <conditionalFormatting sqref="F52">
    <cfRule type="cellIs" dxfId="5" priority="47" operator="notBetween">
      <formula>0</formula>
      <formula>1000</formula>
    </cfRule>
  </conditionalFormatting>
  <conditionalFormatting sqref="F52">
    <cfRule type="cellIs" dxfId="6" priority="48" operator="between">
      <formula>30</formula>
      <formula>35</formula>
    </cfRule>
  </conditionalFormatting>
  <conditionalFormatting sqref="F52">
    <cfRule type="cellIs" dxfId="7" priority="49" operator="lessThanOrEqual">
      <formula>20</formula>
    </cfRule>
  </conditionalFormatting>
  <conditionalFormatting sqref="F52">
    <cfRule type="cellIs" dxfId="1" priority="50" operator="greaterThan">
      <formula>35</formula>
    </cfRule>
  </conditionalFormatting>
  <conditionalFormatting sqref="F52">
    <cfRule type="cellIs" dxfId="8" priority="51" operator="between">
      <formula>20</formula>
      <formula>30</formula>
    </cfRule>
  </conditionalFormatting>
  <conditionalFormatting sqref="D34">
    <cfRule type="containsText" dxfId="0" priority="52" operator="containsText" text="&gt;">
      <formula>NOT(ISERROR(SEARCH(("&gt;"),(D34))))</formula>
    </cfRule>
  </conditionalFormatting>
  <conditionalFormatting sqref="D34">
    <cfRule type="containsText" dxfId="1" priority="53" operator="containsText" text="&lt;">
      <formula>NOT(ISERROR(SEARCH(("&lt;"),(D34))))</formula>
    </cfRule>
  </conditionalFormatting>
  <conditionalFormatting sqref="D34">
    <cfRule type="containsText" dxfId="2" priority="54" operator="containsText" text="OK">
      <formula>NOT(ISERROR(SEARCH(("OK"),(D34))))</formula>
    </cfRule>
  </conditionalFormatting>
  <conditionalFormatting sqref="F38">
    <cfRule type="cellIs" dxfId="5" priority="55" operator="notBetween">
      <formula>0</formula>
      <formula>1000</formula>
    </cfRule>
  </conditionalFormatting>
  <conditionalFormatting sqref="F38">
    <cfRule type="cellIs" dxfId="6" priority="56" operator="between">
      <formula>30</formula>
      <formula>35</formula>
    </cfRule>
  </conditionalFormatting>
  <conditionalFormatting sqref="F38">
    <cfRule type="cellIs" dxfId="7" priority="57" operator="lessThanOrEqual">
      <formula>20</formula>
    </cfRule>
  </conditionalFormatting>
  <conditionalFormatting sqref="F38">
    <cfRule type="cellIs" dxfId="1" priority="58" operator="greaterThan">
      <formula>35</formula>
    </cfRule>
  </conditionalFormatting>
  <conditionalFormatting sqref="F38">
    <cfRule type="cellIs" dxfId="8" priority="59" operator="between">
      <formula>20</formula>
      <formula>30</formula>
    </cfRule>
  </conditionalFormatting>
  <conditionalFormatting sqref="L35:L36">
    <cfRule type="cellIs" dxfId="3" priority="60" operator="lessThan">
      <formula>40</formula>
    </cfRule>
  </conditionalFormatting>
  <conditionalFormatting sqref="L35:L36">
    <cfRule type="cellIs" dxfId="4" priority="61" operator="between">
      <formula>45</formula>
      <formula>40</formula>
    </cfRule>
  </conditionalFormatting>
  <conditionalFormatting sqref="L35:L36">
    <cfRule type="cellIs" dxfId="9" priority="62" operator="greaterThan">
      <formula>45</formula>
    </cfRule>
  </conditionalFormatting>
  <conditionalFormatting sqref="L38">
    <cfRule type="cellIs" dxfId="5" priority="63" operator="notBetween">
      <formula>0</formula>
      <formula>1000</formula>
    </cfRule>
  </conditionalFormatting>
  <conditionalFormatting sqref="L38">
    <cfRule type="cellIs" dxfId="6" priority="64" operator="between">
      <formula>30</formula>
      <formula>35</formula>
    </cfRule>
  </conditionalFormatting>
  <conditionalFormatting sqref="L38">
    <cfRule type="cellIs" dxfId="7" priority="65" operator="lessThanOrEqual">
      <formula>20</formula>
    </cfRule>
  </conditionalFormatting>
  <conditionalFormatting sqref="L38">
    <cfRule type="cellIs" dxfId="1" priority="66" operator="greaterThan">
      <formula>35</formula>
    </cfRule>
  </conditionalFormatting>
  <conditionalFormatting sqref="L38">
    <cfRule type="cellIs" dxfId="8" priority="67" operator="between">
      <formula>20</formula>
      <formula>30</formula>
    </cfRule>
  </conditionalFormatting>
  <conditionalFormatting sqref="D61">
    <cfRule type="containsText" dxfId="0" priority="68" operator="containsText" text="&gt;">
      <formula>NOT(ISERROR(SEARCH(("&gt;"),(D61))))</formula>
    </cfRule>
  </conditionalFormatting>
  <conditionalFormatting sqref="D61">
    <cfRule type="containsText" dxfId="1" priority="69" operator="containsText" text="&lt;">
      <formula>NOT(ISERROR(SEARCH(("&lt;"),(D61))))</formula>
    </cfRule>
  </conditionalFormatting>
  <conditionalFormatting sqref="D61">
    <cfRule type="containsText" dxfId="2" priority="70" operator="containsText" text="OK">
      <formula>NOT(ISERROR(SEARCH(("OK"),(D61))))</formula>
    </cfRule>
  </conditionalFormatting>
  <conditionalFormatting sqref="P34">
    <cfRule type="containsText" dxfId="0" priority="71" operator="containsText" text="&gt;">
      <formula>NOT(ISERROR(SEARCH(("&gt;"),(P34))))</formula>
    </cfRule>
  </conditionalFormatting>
  <conditionalFormatting sqref="P34">
    <cfRule type="containsText" dxfId="1" priority="72" operator="containsText" text="&lt;">
      <formula>NOT(ISERROR(SEARCH(("&lt;"),(P34))))</formula>
    </cfRule>
  </conditionalFormatting>
  <conditionalFormatting sqref="P34">
    <cfRule type="containsText" dxfId="2" priority="73" operator="containsText" text="OK">
      <formula>NOT(ISERROR(SEARCH(("OK"),(P34))))</formula>
    </cfRule>
  </conditionalFormatting>
  <conditionalFormatting sqref="F65">
    <cfRule type="cellIs" dxfId="5" priority="74" operator="notBetween">
      <formula>0</formula>
      <formula>1000</formula>
    </cfRule>
  </conditionalFormatting>
  <conditionalFormatting sqref="F65">
    <cfRule type="cellIs" dxfId="6" priority="75" operator="between">
      <formula>30</formula>
      <formula>35</formula>
    </cfRule>
  </conditionalFormatting>
  <conditionalFormatting sqref="F65">
    <cfRule type="cellIs" dxfId="7" priority="76" operator="lessThanOrEqual">
      <formula>20</formula>
    </cfRule>
  </conditionalFormatting>
  <conditionalFormatting sqref="F65">
    <cfRule type="cellIs" dxfId="1" priority="77" operator="greaterThan">
      <formula>35</formula>
    </cfRule>
  </conditionalFormatting>
  <conditionalFormatting sqref="F65">
    <cfRule type="cellIs" dxfId="8" priority="78" operator="between">
      <formula>20</formula>
      <formula>30</formula>
    </cfRule>
  </conditionalFormatting>
  <conditionalFormatting sqref="R35:S36">
    <cfRule type="cellIs" dxfId="3" priority="79" operator="lessThan">
      <formula>40</formula>
    </cfRule>
  </conditionalFormatting>
  <conditionalFormatting sqref="R35:S36">
    <cfRule type="cellIs" dxfId="4" priority="80" operator="between">
      <formula>45</formula>
      <formula>40</formula>
    </cfRule>
  </conditionalFormatting>
  <conditionalFormatting sqref="R35:S36">
    <cfRule type="cellIs" dxfId="9" priority="81" operator="greaterThan">
      <formula>45</formula>
    </cfRule>
  </conditionalFormatting>
  <conditionalFormatting sqref="R38:S38">
    <cfRule type="cellIs" dxfId="5" priority="82" operator="notBetween">
      <formula>0</formula>
      <formula>1000</formula>
    </cfRule>
  </conditionalFormatting>
  <conditionalFormatting sqref="R38:S38">
    <cfRule type="cellIs" dxfId="6" priority="83" operator="between">
      <formula>30</formula>
      <formula>35</formula>
    </cfRule>
  </conditionalFormatting>
  <conditionalFormatting sqref="R38:S38">
    <cfRule type="cellIs" dxfId="7" priority="84" operator="lessThanOrEqual">
      <formula>20</formula>
    </cfRule>
  </conditionalFormatting>
  <conditionalFormatting sqref="R38:S38">
    <cfRule type="cellIs" dxfId="1" priority="85" operator="greaterThan">
      <formula>35</formula>
    </cfRule>
  </conditionalFormatting>
  <conditionalFormatting sqref="R38:S38">
    <cfRule type="cellIs" dxfId="8" priority="86" operator="between">
      <formula>20</formula>
      <formula>30</formula>
    </cfRule>
  </conditionalFormatting>
  <printOptions horizontalCentered="1" verticalCentered="1"/>
  <pageMargins bottom="0.7480314960629921" footer="0.0" header="0.0" left="0.2362204724409449" right="0.2362204724409449" top="0.7480314960629921"/>
  <pageSetup orientation="landscape"/>
  <drawing r:id="rId1"/>
</worksheet>
</file>