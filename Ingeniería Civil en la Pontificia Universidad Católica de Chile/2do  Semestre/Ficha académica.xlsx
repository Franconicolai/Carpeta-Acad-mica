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<sst xmlns="http://schemas.openxmlformats.org/spreadsheetml/2006/main" count="116" uniqueCount="60">
  <si>
    <t>Libro de calificaciones</t>
  </si>
  <si>
    <t>Ramos</t>
  </si>
  <si>
    <t>Promedio</t>
  </si>
  <si>
    <t>Estado</t>
  </si>
  <si>
    <t>Creditos</t>
  </si>
  <si>
    <t>MAT1620 Calculo II</t>
  </si>
  <si>
    <t>FIS1514 Dinámica</t>
  </si>
  <si>
    <t xml:space="preserve">ICS1513 Introducción a la economía </t>
  </si>
  <si>
    <t>IIC1103 Introducción a la programación</t>
  </si>
  <si>
    <t>OFG: ACT1313 Problemas de las artes escénicas hoy</t>
  </si>
  <si>
    <t xml:space="preserve">Promedio general </t>
  </si>
  <si>
    <t>Detalle de calificaciónes</t>
  </si>
  <si>
    <t>Créditos:</t>
  </si>
  <si>
    <t>Prom. Actual</t>
  </si>
  <si>
    <t>Evaluación Catedra</t>
  </si>
  <si>
    <t>%</t>
  </si>
  <si>
    <t>Nota</t>
  </si>
  <si>
    <t>Evaluación Laboratorio</t>
  </si>
  <si>
    <t>I1</t>
  </si>
  <si>
    <t>Lab 1</t>
  </si>
  <si>
    <t>I2</t>
  </si>
  <si>
    <t>Lab 2</t>
  </si>
  <si>
    <t>I3</t>
  </si>
  <si>
    <t>Lab 3</t>
  </si>
  <si>
    <t>Examen</t>
  </si>
  <si>
    <t>Lab</t>
  </si>
  <si>
    <t>Prom. Catedra</t>
  </si>
  <si>
    <t>Prom. Lab</t>
  </si>
  <si>
    <t>Prom. final</t>
  </si>
  <si>
    <t>Control 1</t>
  </si>
  <si>
    <t>Lab 0</t>
  </si>
  <si>
    <t>Control 2</t>
  </si>
  <si>
    <t>Control 3</t>
  </si>
  <si>
    <t>Controles</t>
  </si>
  <si>
    <t>Lab 4</t>
  </si>
  <si>
    <t>Lab 5</t>
  </si>
  <si>
    <t>Eximido</t>
  </si>
  <si>
    <t>Trabajo 1</t>
  </si>
  <si>
    <t>Ies</t>
  </si>
  <si>
    <t>Trabajo 2</t>
  </si>
  <si>
    <t>Trabajo 3</t>
  </si>
  <si>
    <t>Trabajos</t>
  </si>
  <si>
    <t>Control 4</t>
  </si>
  <si>
    <t>Control 5</t>
  </si>
  <si>
    <t>Control 6</t>
  </si>
  <si>
    <t>Control 7</t>
  </si>
  <si>
    <t>Control 8</t>
  </si>
  <si>
    <t>Control 9</t>
  </si>
  <si>
    <t>Control 10</t>
  </si>
  <si>
    <t>Control 11</t>
  </si>
  <si>
    <t>Control 12</t>
  </si>
  <si>
    <t>Control 13</t>
  </si>
  <si>
    <t>Tareas</t>
  </si>
  <si>
    <t>Tarea 1</t>
  </si>
  <si>
    <t>Tarea 2</t>
  </si>
  <si>
    <t>Participación</t>
  </si>
  <si>
    <t>Tarea 3</t>
  </si>
  <si>
    <t>T1</t>
  </si>
  <si>
    <t>T2</t>
  </si>
  <si>
    <t>T3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</si>
</sst>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0.0"/>
  </numFmts>
  <fonts count="12">
    <font>
      <sz val="10.0"/>
      <color rgb="FF000000"/>
      <name val="Arial"/>
      <scheme val="minor"/>
    </font>
    <font>
      <b/>
      <sz val="20.0"/>
      <color rgb="FFFFFFFF"/>
      <name val="Calibri"/>
    </font>
    <font/>
    <font>
      <sz val="11.0"/>
      <color rgb="FFFFFFFF"/>
      <name val="Calibri"/>
    </font>
    <font>
      <color rgb="FFFFFFFF"/>
      <name val="Calibri"/>
    </font>
    <font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sz val="8.0"/>
      <color theme="1"/>
      <name val="Arial"/>
      <scheme val="minor"/>
    </font>
    <font>
      <color rgb="FFFFFFFF"/>
      <name val="Arial"/>
      <scheme val="minor"/>
    </font>
    <font>
      <b/>
      <sz val="15.0"/>
      <color rgb="FFFFFFFF"/>
      <name val="Calibri"/>
    </font>
    <font>
      <b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3" numFmtId="0" xfId="0" applyAlignment="1" applyBorder="1" applyFill="1" applyFont="1">
      <alignment horizontal="center" vertical="bottom"/>
    </xf>
    <xf borderId="8" fillId="0" fontId="2" numFmtId="0" xfId="0" applyBorder="1" applyFont="1"/>
    <xf borderId="9" fillId="0" fontId="2" numFmtId="0" xfId="0" applyBorder="1" applyFont="1"/>
    <xf borderId="10" fillId="2" fontId="4" numFmtId="0" xfId="0" applyAlignment="1" applyBorder="1" applyFill="1" applyFont="1">
      <alignment horizontal="center" vertical="bottom"/>
    </xf>
    <xf borderId="10" fillId="2" fontId="4" numFmtId="0" xfId="0" applyAlignment="1" applyBorder="1" applyFill="1" applyFont="1">
      <alignment horizontal="center" readingOrder="0" vertical="bottom"/>
    </xf>
    <xf borderId="7" fillId="0" fontId="5" numFmtId="0" xfId="0" applyAlignment="1" applyBorder="1" applyFont="1">
      <alignment readingOrder="0" vertical="bottom"/>
    </xf>
    <xf borderId="10" fillId="0" fontId="5" numFmtId="2" xfId="0" applyAlignment="1" applyBorder="1" applyFont="1" applyNumberFormat="1">
      <alignment horizontal="center" readingOrder="0" vertical="bottom"/>
    </xf>
    <xf borderId="10" fillId="0" fontId="6" numFmtId="2" xfId="0" applyAlignment="1" applyBorder="1" applyFont="1" applyNumberFormat="1">
      <alignment horizontal="center"/>
    </xf>
    <xf borderId="10" fillId="0" fontId="5" numFmtId="0" xfId="0" applyAlignment="1" applyBorder="1" applyFont="1">
      <alignment horizontal="center" readingOrder="0" vertical="bottom"/>
    </xf>
    <xf borderId="10" fillId="0" fontId="5" numFmtId="2" xfId="0" applyAlignment="1" applyBorder="1" applyFont="1" applyNumberFormat="1">
      <alignment horizontal="center" vertical="bottom"/>
    </xf>
    <xf borderId="7" fillId="0" fontId="5" numFmtId="0" xfId="0" applyAlignment="1" applyBorder="1" applyFont="1">
      <alignment readingOrder="0" vertical="top"/>
    </xf>
    <xf borderId="7" fillId="0" fontId="7" numFmtId="0" xfId="0" applyAlignment="1" applyBorder="1" applyFont="1">
      <alignment vertical="bottom"/>
    </xf>
    <xf borderId="10" fillId="0" fontId="7" numFmtId="2" xfId="0" applyAlignment="1" applyBorder="1" applyFont="1" applyNumberFormat="1">
      <alignment horizontal="center" vertical="bottom"/>
    </xf>
    <xf borderId="10" fillId="0" fontId="8" numFmtId="2" xfId="0" applyAlignment="1" applyBorder="1" applyFont="1" applyNumberFormat="1">
      <alignment horizontal="center" vertical="center"/>
    </xf>
    <xf borderId="10" fillId="0" fontId="7" numFmtId="0" xfId="0" applyAlignment="1" applyBorder="1" applyFont="1">
      <alignment horizontal="center" vertical="bottom"/>
    </xf>
    <xf borderId="0" fillId="2" fontId="9" numFmtId="0" xfId="0" applyAlignment="1" applyFill="1" applyFont="1">
      <alignment readingOrder="0"/>
    </xf>
    <xf borderId="1" fillId="2" fontId="10" numFmtId="0" xfId="0" applyAlignment="1" applyBorder="1" applyFill="1" applyFont="1">
      <alignment horizontal="left" vertical="center"/>
    </xf>
    <xf borderId="10" fillId="2" fontId="11" numFmtId="0" xfId="0" applyAlignment="1" applyBorder="1" applyFill="1" applyFont="1">
      <alignment vertical="bottom"/>
    </xf>
    <xf borderId="10" fillId="2" fontId="3" numFmtId="0" xfId="0" applyAlignment="1" applyBorder="1" applyFill="1" applyFont="1">
      <alignment vertical="bottom"/>
    </xf>
    <xf borderId="10" fillId="2" fontId="11" numFmtId="2" xfId="0" applyAlignment="1" applyBorder="1" applyFill="1" applyFont="1" applyNumberFormat="1">
      <alignment horizontal="center"/>
    </xf>
    <xf borderId="7" fillId="3" fontId="7" numFmtId="0" xfId="0" applyAlignment="1" applyBorder="1" applyFill="1" applyFont="1">
      <alignment horizontal="center" readingOrder="0" vertical="bottom"/>
    </xf>
    <xf borderId="10" fillId="3" fontId="7" numFmtId="0" xfId="0" applyAlignment="1" applyBorder="1" applyFill="1" applyFont="1">
      <alignment horizontal="center" vertical="bottom"/>
    </xf>
    <xf borderId="7" fillId="4" fontId="5" numFmtId="0" xfId="0" applyAlignment="1" applyBorder="1" applyFill="1" applyFont="1">
      <alignment vertical="bottom"/>
    </xf>
    <xf borderId="10" fillId="4" fontId="5" numFmtId="164" xfId="0" applyAlignment="1" applyBorder="1" applyFill="1" applyFont="1" applyNumberFormat="1">
      <alignment horizontal="center" vertical="bottom"/>
    </xf>
    <xf borderId="10" fillId="4" fontId="5" numFmtId="165" xfId="0" applyAlignment="1" applyBorder="1" applyFill="1" applyFont="1" applyNumberFormat="1">
      <alignment horizontal="center" readingOrder="0" vertical="bottom"/>
    </xf>
    <xf borderId="7" fillId="4" fontId="5" numFmtId="0" xfId="0" applyAlignment="1" applyBorder="1" applyFill="1" applyFont="1">
      <alignment readingOrder="0" vertical="bottom"/>
    </xf>
    <xf borderId="10" fillId="4" fontId="5" numFmtId="164" xfId="0" applyAlignment="1" applyBorder="1" applyFill="1" applyFont="1" applyNumberFormat="1">
      <alignment horizontal="center" readingOrder="0" vertical="bottom"/>
    </xf>
    <xf borderId="1" fillId="4" fontId="5" numFmtId="0" xfId="0" applyAlignment="1" applyBorder="1" applyFill="1" applyFont="1">
      <alignment readingOrder="0" vertical="bottom"/>
    </xf>
    <xf borderId="0" fillId="0" fontId="7" numFmtId="0" xfId="0" applyAlignment="1" applyFont="1">
      <alignment vertical="bottom"/>
    </xf>
    <xf borderId="10" fillId="2" fontId="3" numFmtId="0" xfId="0" applyAlignment="1" applyBorder="1" applyFill="1" applyFont="1">
      <alignment readingOrder="0" vertical="bottom"/>
    </xf>
    <xf borderId="7" fillId="2" fontId="3" numFmtId="0" xfId="0" applyAlignment="1" applyBorder="1" applyFill="1" applyFont="1">
      <alignment readingOrder="0" vertical="bottom"/>
    </xf>
    <xf borderId="8" fillId="2" fontId="3" numFmtId="0" xfId="0" applyAlignment="1" applyBorder="1" applyFill="1" applyFont="1">
      <alignment readingOrder="0" vertical="bottom"/>
    </xf>
    <xf borderId="9" fillId="2" fontId="3" numFmtId="0" xfId="0" applyAlignment="1" applyBorder="1" applyFill="1" applyFont="1">
      <alignment readingOrder="0" vertical="bottom"/>
    </xf>
    <xf borderId="7" fillId="2" fontId="11" numFmtId="2" xfId="0" applyAlignment="1" applyBorder="1" applyFill="1" applyFont="1" applyNumberFormat="1">
      <alignment horizontal="center" readingOrder="0"/>
    </xf>
    <xf borderId="8" fillId="2" fontId="11" numFmtId="2" xfId="0" applyAlignment="1" applyBorder="1" applyFill="1" applyFont="1" applyNumberFormat="1">
      <alignment horizontal="center"/>
    </xf>
    <xf borderId="9" fillId="2" fontId="11" numFmtId="2" xfId="0" applyAlignment="1" applyBorder="1" applyFill="1" applyFont="1" applyNumberFormat="1">
      <alignment horizontal="center"/>
    </xf>
    <xf borderId="10" fillId="4" fontId="5" numFmtId="1" xfId="0" applyAlignment="1" applyBorder="1" applyFill="1" applyFont="1" applyNumberFormat="1">
      <alignment horizontal="center" readingOrder="0" vertical="bottom"/>
    </xf>
    <xf borderId="10" fillId="4" fontId="5" numFmtId="2" xfId="0" applyAlignment="1" applyBorder="1" applyFill="1" applyFont="1" applyNumberFormat="1">
      <alignment horizontal="center" readingOrder="0" vertical="bottom"/>
    </xf>
    <xf borderId="0" fillId="4" fontId="5" numFmtId="0" xfId="0" applyAlignment="1" applyFill="1" applyFont="1">
      <alignment readingOrder="0" vertical="bottom"/>
    </xf>
    <xf borderId="0" fillId="4" fontId="5" numFmtId="164" xfId="0" applyAlignment="1" applyFill="1" applyFont="1" applyNumberFormat="1">
      <alignment horizontal="center" readingOrder="0" vertical="bottom"/>
    </xf>
    <xf borderId="0" fillId="4" fontId="5" numFmtId="1" xfId="0" applyAlignment="1" applyFill="1" applyFont="1" applyNumberFormat="1">
      <alignment horizontal="center" readingOrder="0" vertical="bottom"/>
    </xf>
    <xf borderId="0" fillId="4" fontId="5" numFmtId="164" xfId="0" applyAlignment="1" applyFill="1" applyFont="1" applyNumberFormat="1">
      <alignment horizontal="center" vertical="bottom"/>
    </xf>
    <xf borderId="10" fillId="2" fontId="11" numFmtId="2" xfId="0" applyAlignment="1" applyBorder="1" applyFill="1" applyFont="1" applyNumberFormat="1">
      <alignment horizontal="center" readingOrder="0"/>
    </xf>
    <xf borderId="10" fillId="0" fontId="5" numFmtId="1" xfId="0" applyAlignment="1" applyBorder="1" applyFont="1" applyNumberFormat="1">
      <alignment horizontal="center" readingOrder="0" vertical="bottom"/>
    </xf>
    <xf borderId="9" fillId="4" fontId="5" numFmtId="164" xfId="0" applyAlignment="1" applyBorder="1" applyFill="1" applyFont="1" applyNumberFormat="1">
      <alignment horizontal="center" vertical="bottom"/>
    </xf>
    <xf borderId="9" fillId="0" fontId="5" numFmtId="1" xfId="0" applyAlignment="1" applyBorder="1" applyFont="1" applyNumberFormat="1">
      <alignment horizontal="center" readingOrder="0" vertical="bottom"/>
    </xf>
    <xf borderId="0" fillId="4" fontId="5" numFmtId="0" xfId="0" applyAlignment="1" applyFill="1" applyFont="1">
      <alignment vertical="bottom"/>
    </xf>
    <xf borderId="0" fillId="4" fontId="5" numFmtId="4" xfId="0" applyAlignment="1" applyFill="1" applyFont="1" applyNumberFormat="1">
      <alignment horizontal="center" vertical="bottom"/>
    </xf>
    <xf borderId="0" fillId="0" fontId="5" numFmtId="2" xfId="0" applyAlignment="1" applyFont="1" applyNumberFormat="1">
      <alignment horizontal="center" readingOrder="0" vertical="bottom"/>
    </xf>
    <xf borderId="11" fillId="0" fontId="2" numFmtId="0" xfId="0" applyBorder="1" applyFont="1"/>
    <xf borderId="1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</cols>
  <sheetData>
    <row r="3">
      <c r="B3" s="1" t="s">
        <v>0</v>
      </c>
      <c r="C3" s="2"/>
      <c r="D3" s="2"/>
      <c r="E3" s="2"/>
      <c r="F3" s="2"/>
      <c r="G3" s="2"/>
      <c r="H3" s="2"/>
      <c r="I3" s="3"/>
    </row>
    <row r="4">
      <c r="B4" s="4"/>
      <c r="C4" s="5"/>
      <c r="D4" s="5"/>
      <c r="E4" s="5"/>
      <c r="F4" s="5"/>
      <c r="G4" s="5"/>
      <c r="H4" s="5"/>
      <c r="I4" s="6"/>
    </row>
    <row r="5">
      <c r="B5" s="7" t="s">
        <v>1</v>
      </c>
      <c r="C5" s="8"/>
      <c r="D5" s="8"/>
      <c r="E5" s="8"/>
      <c r="F5" s="9"/>
      <c r="G5" s="10" t="s">
        <v>2</v>
      </c>
      <c r="H5" s="11" t="s">
        <v>3</v>
      </c>
      <c r="I5" s="10" t="s">
        <v>4</v>
      </c>
    </row>
    <row r="6">
      <c r="B6" s="12" t="s">
        <v>5</v>
      </c>
      <c r="C6" s="8"/>
      <c r="D6" s="8"/>
      <c r="E6" s="8"/>
      <c r="F6" s="9"/>
      <c r="G6" s="13">
        <f>I16</f>
        <v>57</v>
      </c>
      <c r="H6" s="14" t="str">
        <f t="shared" ref="H6:H10" si="1">IF(G6&gt;40,"Aprobado","Matraca")</f>
        <v>Aprobado</v>
      </c>
      <c r="I6" s="15">
        <v>10.0</v>
      </c>
    </row>
    <row r="7">
      <c r="B7" s="12" t="s">
        <v>6</v>
      </c>
      <c r="C7" s="8"/>
      <c r="D7" s="8"/>
      <c r="E7" s="8"/>
      <c r="F7" s="9"/>
      <c r="G7" s="16">
        <f>K25</f>
        <v>51</v>
      </c>
      <c r="H7" s="14" t="str">
        <f t="shared" si="1"/>
        <v>Aprobado</v>
      </c>
      <c r="I7" s="15">
        <v>10.0</v>
      </c>
    </row>
    <row r="8">
      <c r="B8" s="12" t="s">
        <v>7</v>
      </c>
      <c r="C8" s="8"/>
      <c r="D8" s="8"/>
      <c r="E8" s="8"/>
      <c r="F8" s="9"/>
      <c r="G8" s="16">
        <f>L35*10</f>
        <v>55.2</v>
      </c>
      <c r="H8" s="14" t="str">
        <f t="shared" si="1"/>
        <v>Aprobado</v>
      </c>
      <c r="I8" s="15">
        <v>10.0</v>
      </c>
    </row>
    <row r="9">
      <c r="B9" s="12" t="s">
        <v>8</v>
      </c>
      <c r="C9" s="8"/>
      <c r="D9" s="8"/>
      <c r="E9" s="8"/>
      <c r="F9" s="9"/>
      <c r="G9" s="16">
        <f>I52</f>
        <v>66</v>
      </c>
      <c r="H9" s="14" t="str">
        <f t="shared" si="1"/>
        <v>Aprobado</v>
      </c>
      <c r="I9" s="15">
        <v>10.0</v>
      </c>
    </row>
    <row r="10">
      <c r="B10" s="17" t="s">
        <v>9</v>
      </c>
      <c r="C10" s="8"/>
      <c r="D10" s="8"/>
      <c r="E10" s="8"/>
      <c r="F10" s="9"/>
      <c r="G10" s="16">
        <f>I61</f>
        <v>59</v>
      </c>
      <c r="H10" s="14" t="str">
        <f t="shared" si="1"/>
        <v>Aprobado</v>
      </c>
      <c r="I10" s="15">
        <v>10.0</v>
      </c>
    </row>
    <row r="11">
      <c r="B11" s="18" t="s">
        <v>10</v>
      </c>
      <c r="C11" s="8"/>
      <c r="D11" s="8"/>
      <c r="E11" s="8"/>
      <c r="F11" s="9"/>
      <c r="G11" s="19">
        <f>AVERAGE(G6:G10)</f>
        <v>57.64</v>
      </c>
      <c r="H11" s="20" t="str">
        <f>IF(G11&gt;40,"Una puta maquina","Cagaste")</f>
        <v>Una puta maquina</v>
      </c>
      <c r="I11" s="21">
        <f>SUM(I6:I10)</f>
        <v>50</v>
      </c>
    </row>
    <row r="13">
      <c r="B13" s="22" t="s">
        <v>11</v>
      </c>
    </row>
    <row r="15">
      <c r="B15" s="23" t="str">
        <f>B6</f>
        <v>MAT1620 Calculo II</v>
      </c>
      <c r="C15" s="2"/>
      <c r="D15" s="2"/>
      <c r="E15" s="2"/>
      <c r="F15" s="2"/>
      <c r="G15" s="3"/>
      <c r="H15" s="24" t="s">
        <v>12</v>
      </c>
      <c r="I15" s="25" t="s">
        <v>13</v>
      </c>
    </row>
    <row r="16">
      <c r="B16" s="4"/>
      <c r="C16" s="5"/>
      <c r="D16" s="5"/>
      <c r="E16" s="5"/>
      <c r="F16" s="5"/>
      <c r="G16" s="6"/>
      <c r="H16" s="10">
        <f>I6</f>
        <v>10</v>
      </c>
      <c r="I16" s="26">
        <f>IFERROR(ROUND(SUMPRODUCT(D18:D22,E18:E22)/(SUMIF(E18:E22,"&gt;0",D18:D22)),0),"")</f>
        <v>57</v>
      </c>
    </row>
    <row r="17">
      <c r="B17" s="27" t="s">
        <v>14</v>
      </c>
      <c r="C17" s="8"/>
      <c r="D17" s="28" t="s">
        <v>15</v>
      </c>
      <c r="E17" s="28" t="s">
        <v>16</v>
      </c>
      <c r="F17" s="27" t="s">
        <v>17</v>
      </c>
      <c r="G17" s="8"/>
      <c r="H17" s="28" t="s">
        <v>15</v>
      </c>
      <c r="I17" s="28" t="s">
        <v>16</v>
      </c>
    </row>
    <row r="18">
      <c r="B18" s="29" t="s">
        <v>18</v>
      </c>
      <c r="C18" s="8"/>
      <c r="D18" s="30">
        <v>0.2</v>
      </c>
      <c r="E18" s="31">
        <v>52.0</v>
      </c>
      <c r="F18" s="32" t="s">
        <v>19</v>
      </c>
      <c r="G18" s="8"/>
      <c r="H18" s="33">
        <v>0.333</v>
      </c>
      <c r="I18" s="31">
        <v>70.0</v>
      </c>
    </row>
    <row r="19">
      <c r="B19" s="29" t="s">
        <v>20</v>
      </c>
      <c r="C19" s="8"/>
      <c r="D19" s="30">
        <v>0.2</v>
      </c>
      <c r="E19" s="31">
        <v>58.0</v>
      </c>
      <c r="F19" s="32" t="s">
        <v>21</v>
      </c>
      <c r="G19" s="8"/>
      <c r="H19" s="33">
        <v>0.333</v>
      </c>
      <c r="I19" s="31">
        <v>70.0</v>
      </c>
    </row>
    <row r="20">
      <c r="B20" s="29" t="s">
        <v>22</v>
      </c>
      <c r="C20" s="8"/>
      <c r="D20" s="30">
        <v>0.2</v>
      </c>
      <c r="E20" s="31">
        <v>52.0</v>
      </c>
      <c r="F20" s="32" t="s">
        <v>23</v>
      </c>
      <c r="G20" s="8"/>
      <c r="H20" s="33">
        <v>0.333</v>
      </c>
      <c r="I20" s="31">
        <v>70.0</v>
      </c>
    </row>
    <row r="21">
      <c r="B21" s="29" t="s">
        <v>24</v>
      </c>
      <c r="C21" s="8"/>
      <c r="D21" s="30">
        <v>0.3</v>
      </c>
      <c r="E21" s="31">
        <v>60.0</v>
      </c>
      <c r="F21" s="34"/>
      <c r="G21" s="2"/>
      <c r="H21" s="2"/>
      <c r="I21" s="3"/>
    </row>
    <row r="22">
      <c r="B22" s="29" t="s">
        <v>25</v>
      </c>
      <c r="C22" s="8"/>
      <c r="D22" s="30">
        <v>0.1</v>
      </c>
      <c r="E22" s="31">
        <f>IFERROR(ROUND(SUMPRODUCT(H18:H22,I18:I22)/(SUMIF(I18:I22,"&gt;0",H18:H22)),0),"")</f>
        <v>70</v>
      </c>
      <c r="F22" s="4"/>
      <c r="G22" s="5"/>
      <c r="H22" s="5"/>
      <c r="I22" s="6"/>
    </row>
    <row r="23">
      <c r="F23" s="35"/>
    </row>
    <row r="24">
      <c r="B24" s="23" t="str">
        <f>B7</f>
        <v>FIS1514 Dinámica</v>
      </c>
      <c r="C24" s="2"/>
      <c r="D24" s="2"/>
      <c r="E24" s="2"/>
      <c r="F24" s="2"/>
      <c r="G24" s="3"/>
      <c r="H24" s="24" t="s">
        <v>12</v>
      </c>
      <c r="I24" s="36" t="s">
        <v>26</v>
      </c>
      <c r="J24" s="36" t="s">
        <v>27</v>
      </c>
      <c r="K24" s="37" t="s">
        <v>28</v>
      </c>
      <c r="L24" s="38"/>
      <c r="M24" s="39"/>
    </row>
    <row r="25">
      <c r="B25" s="4"/>
      <c r="C25" s="5"/>
      <c r="D25" s="5"/>
      <c r="E25" s="5"/>
      <c r="F25" s="5"/>
      <c r="G25" s="6"/>
      <c r="H25" s="10">
        <f>I7</f>
        <v>10</v>
      </c>
      <c r="I25" s="26">
        <f>IFERROR(ROUND(SUMPRODUCT(D27:D30,E27:E30)/(SUMIF(E27:E30,"&gt;0",D27:D30)),0),"")</f>
        <v>45</v>
      </c>
      <c r="J25" s="26">
        <f>IFERROR(ROUND(SUMPRODUCT(L27:L32,M27:M32)/(SUMIF(M27:M32,"&gt;0",L27:L32)),0),"")</f>
        <v>65</v>
      </c>
      <c r="K25" s="40">
        <v>51.0</v>
      </c>
      <c r="L25" s="41"/>
      <c r="M25" s="42"/>
    </row>
    <row r="26">
      <c r="B26" s="27" t="s">
        <v>14</v>
      </c>
      <c r="C26" s="8"/>
      <c r="D26" s="28" t="s">
        <v>15</v>
      </c>
      <c r="E26" s="28" t="s">
        <v>16</v>
      </c>
      <c r="F26" s="27" t="s">
        <v>14</v>
      </c>
      <c r="G26" s="8"/>
      <c r="H26" s="28" t="s">
        <v>15</v>
      </c>
      <c r="I26" s="28" t="s">
        <v>16</v>
      </c>
      <c r="J26" s="27" t="s">
        <v>17</v>
      </c>
      <c r="K26" s="8"/>
      <c r="L26" s="28" t="s">
        <v>15</v>
      </c>
      <c r="M26" s="28" t="s">
        <v>16</v>
      </c>
    </row>
    <row r="27">
      <c r="B27" s="29" t="s">
        <v>18</v>
      </c>
      <c r="C27" s="8"/>
      <c r="D27" s="33">
        <v>0.25</v>
      </c>
      <c r="E27" s="43">
        <v>45.0</v>
      </c>
      <c r="F27" s="32" t="s">
        <v>29</v>
      </c>
      <c r="G27" s="8"/>
      <c r="H27" s="33">
        <v>0.333</v>
      </c>
      <c r="I27" s="43">
        <v>40.0</v>
      </c>
      <c r="J27" s="32" t="s">
        <v>30</v>
      </c>
      <c r="K27" s="8"/>
      <c r="L27" s="33">
        <v>0.2</v>
      </c>
      <c r="M27" s="43">
        <v>65.5</v>
      </c>
    </row>
    <row r="28">
      <c r="B28" s="29" t="s">
        <v>20</v>
      </c>
      <c r="C28" s="8"/>
      <c r="D28" s="33">
        <v>0.25</v>
      </c>
      <c r="E28" s="43">
        <v>55.0</v>
      </c>
      <c r="F28" s="32" t="s">
        <v>31</v>
      </c>
      <c r="G28" s="8"/>
      <c r="H28" s="33">
        <v>0.333</v>
      </c>
      <c r="I28" s="43">
        <v>59.0</v>
      </c>
      <c r="J28" s="32" t="s">
        <v>19</v>
      </c>
      <c r="K28" s="8"/>
      <c r="L28" s="33">
        <v>0.2</v>
      </c>
      <c r="M28" s="43">
        <v>64.4</v>
      </c>
    </row>
    <row r="29">
      <c r="B29" s="29" t="s">
        <v>24</v>
      </c>
      <c r="C29" s="8"/>
      <c r="D29" s="30">
        <v>0.3</v>
      </c>
      <c r="E29" s="44">
        <v>33.0</v>
      </c>
      <c r="F29" s="32" t="s">
        <v>32</v>
      </c>
      <c r="G29" s="8"/>
      <c r="H29" s="33">
        <v>0.333</v>
      </c>
      <c r="I29" s="43">
        <v>29.0</v>
      </c>
      <c r="J29" s="32" t="s">
        <v>21</v>
      </c>
      <c r="K29" s="8"/>
      <c r="L29" s="33">
        <v>0.2</v>
      </c>
      <c r="M29" s="43">
        <v>68.0</v>
      </c>
    </row>
    <row r="30">
      <c r="B30" s="32" t="s">
        <v>33</v>
      </c>
      <c r="C30" s="8"/>
      <c r="D30" s="33">
        <v>0.2</v>
      </c>
      <c r="E30" s="43">
        <f>IFERROR(ROUND(SUMPRODUCT(H27:H30,I27:I30)/(SUMIF(I27:I30,"&gt;0",H27:H30)),0),"")+5</f>
        <v>48</v>
      </c>
      <c r="F30" s="32"/>
      <c r="G30" s="8"/>
      <c r="H30" s="8"/>
      <c r="I30" s="9"/>
      <c r="J30" s="32" t="s">
        <v>23</v>
      </c>
      <c r="K30" s="8"/>
      <c r="L30" s="33">
        <v>0.2</v>
      </c>
      <c r="M30" s="43">
        <v>58.2</v>
      </c>
    </row>
    <row r="31">
      <c r="B31" s="45"/>
      <c r="C31" s="45"/>
      <c r="D31" s="46"/>
      <c r="E31" s="47"/>
      <c r="F31" s="45"/>
      <c r="G31" s="45"/>
      <c r="H31" s="48"/>
      <c r="I31" s="47"/>
      <c r="J31" s="32" t="s">
        <v>34</v>
      </c>
      <c r="K31" s="8"/>
      <c r="L31" s="33">
        <v>0.2</v>
      </c>
      <c r="M31" s="43">
        <v>65.7</v>
      </c>
    </row>
    <row r="32">
      <c r="B32" s="45"/>
      <c r="C32" s="45"/>
      <c r="D32" s="46"/>
      <c r="E32" s="47"/>
      <c r="F32" s="45"/>
      <c r="G32" s="45"/>
      <c r="H32" s="48"/>
      <c r="I32" s="47"/>
      <c r="J32" s="32" t="s">
        <v>35</v>
      </c>
      <c r="K32" s="8"/>
      <c r="L32" s="33">
        <v>0.2</v>
      </c>
      <c r="M32" s="43">
        <v>68.0</v>
      </c>
    </row>
    <row r="34">
      <c r="B34" s="23" t="str">
        <f>B8</f>
        <v>ICS1513 Introducción a la economía </v>
      </c>
      <c r="C34" s="2"/>
      <c r="D34" s="2"/>
      <c r="E34" s="2"/>
      <c r="F34" s="2"/>
      <c r="G34" s="2"/>
      <c r="H34" s="2"/>
      <c r="I34" s="2"/>
      <c r="J34" s="2"/>
      <c r="K34" s="24" t="s">
        <v>12</v>
      </c>
      <c r="L34" s="25" t="s">
        <v>13</v>
      </c>
      <c r="M34" s="25" t="s">
        <v>13</v>
      </c>
    </row>
    <row r="35">
      <c r="B35" s="4"/>
      <c r="C35" s="5"/>
      <c r="D35" s="5"/>
      <c r="E35" s="5"/>
      <c r="F35" s="5"/>
      <c r="G35" s="5"/>
      <c r="H35" s="5"/>
      <c r="I35" s="5"/>
      <c r="J35" s="5"/>
      <c r="K35" s="10">
        <f>I8</f>
        <v>10</v>
      </c>
      <c r="L35" s="49">
        <v>5.52</v>
      </c>
      <c r="M35" s="49" t="s">
        <v>36</v>
      </c>
    </row>
    <row r="36">
      <c r="B36" s="27" t="s">
        <v>14</v>
      </c>
      <c r="C36" s="8"/>
      <c r="D36" s="28" t="s">
        <v>15</v>
      </c>
      <c r="E36" s="28" t="s">
        <v>16</v>
      </c>
      <c r="F36" s="27" t="s">
        <v>17</v>
      </c>
      <c r="G36" s="8"/>
      <c r="H36" s="28" t="s">
        <v>15</v>
      </c>
      <c r="I36" s="28" t="s">
        <v>16</v>
      </c>
      <c r="J36" s="27" t="s">
        <v>17</v>
      </c>
      <c r="K36" s="8"/>
      <c r="L36" s="28" t="s">
        <v>15</v>
      </c>
      <c r="M36" s="28" t="s">
        <v>16</v>
      </c>
    </row>
    <row r="37">
      <c r="B37" s="29"/>
      <c r="C37" s="8"/>
      <c r="D37" s="8"/>
      <c r="E37" s="9"/>
      <c r="F37" s="32" t="s">
        <v>29</v>
      </c>
      <c r="G37" s="8"/>
      <c r="H37" s="33">
        <v>0.1</v>
      </c>
      <c r="I37" s="43">
        <v>55.0</v>
      </c>
      <c r="J37" s="32" t="s">
        <v>37</v>
      </c>
      <c r="K37" s="8"/>
      <c r="L37" s="33">
        <v>0.333</v>
      </c>
      <c r="M37" s="43">
        <v>58.0</v>
      </c>
    </row>
    <row r="38">
      <c r="B38" s="32" t="s">
        <v>38</v>
      </c>
      <c r="C38" s="8"/>
      <c r="D38" s="33">
        <v>0.55</v>
      </c>
      <c r="E38" s="13">
        <f>AVERAGE(M40,M41)</f>
        <v>4.65</v>
      </c>
      <c r="F38" s="32" t="s">
        <v>31</v>
      </c>
      <c r="G38" s="8"/>
      <c r="H38" s="33">
        <v>0.1</v>
      </c>
      <c r="I38" s="43">
        <v>55.0</v>
      </c>
      <c r="J38" s="32" t="s">
        <v>39</v>
      </c>
      <c r="K38" s="8"/>
      <c r="L38" s="33">
        <v>0.333</v>
      </c>
      <c r="M38" s="50">
        <v>69.0</v>
      </c>
    </row>
    <row r="39">
      <c r="B39" s="32" t="s">
        <v>33</v>
      </c>
      <c r="C39" s="8"/>
      <c r="D39" s="33">
        <v>0.25</v>
      </c>
      <c r="E39" s="13">
        <v>5.74</v>
      </c>
      <c r="F39" s="32" t="s">
        <v>32</v>
      </c>
      <c r="G39" s="8"/>
      <c r="H39" s="33">
        <v>0.0</v>
      </c>
      <c r="I39" s="43">
        <v>25.0</v>
      </c>
      <c r="J39" s="32" t="s">
        <v>40</v>
      </c>
      <c r="K39" s="8"/>
      <c r="L39" s="33">
        <v>0.333</v>
      </c>
      <c r="M39" s="50">
        <v>66.0</v>
      </c>
    </row>
    <row r="40">
      <c r="B40" s="32" t="s">
        <v>41</v>
      </c>
      <c r="C40" s="8"/>
      <c r="D40" s="33">
        <v>0.2</v>
      </c>
      <c r="E40" s="13">
        <v>6.6</v>
      </c>
      <c r="F40" s="32" t="s">
        <v>42</v>
      </c>
      <c r="G40" s="8"/>
      <c r="H40" s="33">
        <v>0.0</v>
      </c>
      <c r="I40" s="50">
        <v>10.0</v>
      </c>
      <c r="J40" s="29" t="s">
        <v>18</v>
      </c>
      <c r="K40" s="8"/>
      <c r="L40" s="33">
        <v>0.5</v>
      </c>
      <c r="M40" s="13">
        <v>4.5</v>
      </c>
    </row>
    <row r="41">
      <c r="B41" s="29" t="s">
        <v>24</v>
      </c>
      <c r="C41" s="9"/>
      <c r="D41" s="51">
        <v>0.3</v>
      </c>
      <c r="E41" s="52" t="s">
        <v>36</v>
      </c>
      <c r="F41" s="32" t="s">
        <v>43</v>
      </c>
      <c r="G41" s="8"/>
      <c r="H41" s="33">
        <v>0.1</v>
      </c>
      <c r="I41" s="43">
        <v>58.0</v>
      </c>
      <c r="J41" s="29" t="s">
        <v>20</v>
      </c>
      <c r="K41" s="8"/>
      <c r="L41" s="33">
        <v>0.5</v>
      </c>
      <c r="M41" s="13">
        <v>4.8</v>
      </c>
    </row>
    <row r="42">
      <c r="B42" s="53"/>
      <c r="C42" s="53"/>
      <c r="D42" s="48"/>
      <c r="E42" s="47"/>
      <c r="F42" s="32" t="s">
        <v>44</v>
      </c>
      <c r="G42" s="8"/>
      <c r="H42" s="33">
        <v>0.1</v>
      </c>
      <c r="I42" s="43">
        <v>70.0</v>
      </c>
    </row>
    <row r="43">
      <c r="B43" s="53"/>
      <c r="C43" s="53"/>
      <c r="D43" s="54"/>
      <c r="E43" s="47"/>
      <c r="F43" s="32" t="s">
        <v>45</v>
      </c>
      <c r="G43" s="8"/>
      <c r="H43" s="33">
        <v>0.1</v>
      </c>
      <c r="I43" s="43">
        <v>70.0</v>
      </c>
      <c r="M43" s="55"/>
    </row>
    <row r="44">
      <c r="B44" s="53"/>
      <c r="C44" s="53"/>
      <c r="D44" s="48"/>
      <c r="E44" s="47"/>
      <c r="F44" s="32" t="s">
        <v>46</v>
      </c>
      <c r="G44" s="8"/>
      <c r="H44" s="33">
        <v>0.0</v>
      </c>
      <c r="I44" s="50">
        <v>22.0</v>
      </c>
    </row>
    <row r="45">
      <c r="B45" s="53"/>
      <c r="C45" s="53"/>
      <c r="D45" s="48"/>
      <c r="E45" s="47"/>
      <c r="F45" s="32" t="s">
        <v>47</v>
      </c>
      <c r="G45" s="8"/>
      <c r="H45" s="33">
        <v>0.1</v>
      </c>
      <c r="I45" s="50">
        <v>70.0</v>
      </c>
    </row>
    <row r="46">
      <c r="B46" s="53"/>
      <c r="C46" s="53"/>
      <c r="D46" s="48"/>
      <c r="E46" s="47"/>
      <c r="F46" s="32" t="s">
        <v>48</v>
      </c>
      <c r="G46" s="8"/>
      <c r="H46" s="33">
        <v>0.1</v>
      </c>
      <c r="I46" s="50">
        <v>70.0</v>
      </c>
      <c r="L46" s="47"/>
    </row>
    <row r="47">
      <c r="B47" s="53"/>
      <c r="C47" s="53"/>
      <c r="D47" s="48"/>
      <c r="E47" s="47"/>
      <c r="F47" s="32" t="s">
        <v>49</v>
      </c>
      <c r="G47" s="8"/>
      <c r="H47" s="33">
        <v>0.1</v>
      </c>
      <c r="I47" s="50">
        <v>58.0</v>
      </c>
      <c r="L47" s="47"/>
    </row>
    <row r="48">
      <c r="B48" s="53"/>
      <c r="C48" s="53"/>
      <c r="D48" s="48"/>
      <c r="E48" s="47"/>
      <c r="F48" s="32" t="s">
        <v>50</v>
      </c>
      <c r="G48" s="8"/>
      <c r="H48" s="33">
        <v>0.1</v>
      </c>
      <c r="I48" s="43">
        <v>30.0</v>
      </c>
      <c r="L48" s="47"/>
    </row>
    <row r="49">
      <c r="B49" s="53"/>
      <c r="C49" s="53"/>
      <c r="D49" s="48"/>
      <c r="E49" s="47"/>
      <c r="F49" s="32" t="s">
        <v>51</v>
      </c>
      <c r="G49" s="8"/>
      <c r="H49" s="33">
        <v>0.1</v>
      </c>
      <c r="I49" s="43">
        <v>34.0</v>
      </c>
      <c r="L49" s="47"/>
    </row>
    <row r="50">
      <c r="L50" s="47"/>
    </row>
    <row r="51">
      <c r="B51" s="23" t="str">
        <f>B9</f>
        <v>IIC1103 Introducción a la programación</v>
      </c>
      <c r="C51" s="2"/>
      <c r="D51" s="2"/>
      <c r="E51" s="2"/>
      <c r="F51" s="2"/>
      <c r="G51" s="3"/>
      <c r="H51" s="24" t="s">
        <v>12</v>
      </c>
      <c r="I51" s="25" t="s">
        <v>13</v>
      </c>
      <c r="L51" s="47"/>
    </row>
    <row r="52">
      <c r="B52" s="4"/>
      <c r="C52" s="5"/>
      <c r="D52" s="5"/>
      <c r="E52" s="5"/>
      <c r="F52" s="5"/>
      <c r="G52" s="6"/>
      <c r="H52" s="10">
        <f>I9</f>
        <v>10</v>
      </c>
      <c r="I52" s="26">
        <f>IFERROR(ROUND(SUMPRODUCT(D54:D58,E54:E58)/(SUMIF(E54:E58,"&gt;0",D54:D58)),0),"")</f>
        <v>66</v>
      </c>
      <c r="L52" s="47"/>
    </row>
    <row r="53">
      <c r="B53" s="27" t="s">
        <v>14</v>
      </c>
      <c r="C53" s="8"/>
      <c r="D53" s="28" t="s">
        <v>15</v>
      </c>
      <c r="E53" s="28" t="s">
        <v>16</v>
      </c>
      <c r="F53" s="27" t="s">
        <v>52</v>
      </c>
      <c r="G53" s="8"/>
      <c r="H53" s="28" t="s">
        <v>15</v>
      </c>
      <c r="I53" s="28" t="s">
        <v>16</v>
      </c>
      <c r="L53" s="47"/>
    </row>
    <row r="54">
      <c r="B54" s="29" t="s">
        <v>18</v>
      </c>
      <c r="C54" s="8"/>
      <c r="D54" s="33">
        <v>0.15</v>
      </c>
      <c r="E54" s="43">
        <v>70.0</v>
      </c>
      <c r="F54" s="32" t="s">
        <v>53</v>
      </c>
      <c r="G54" s="8"/>
      <c r="H54" s="33">
        <v>0.333</v>
      </c>
      <c r="I54" s="43">
        <v>70.0</v>
      </c>
      <c r="L54" s="47"/>
    </row>
    <row r="55">
      <c r="B55" s="29" t="s">
        <v>20</v>
      </c>
      <c r="C55" s="8"/>
      <c r="D55" s="33">
        <v>0.15</v>
      </c>
      <c r="E55" s="43">
        <v>62.0</v>
      </c>
      <c r="F55" s="32" t="s">
        <v>54</v>
      </c>
      <c r="G55" s="8"/>
      <c r="H55" s="33">
        <v>0.333</v>
      </c>
      <c r="I55" s="43">
        <v>70.0</v>
      </c>
      <c r="L55" s="47"/>
    </row>
    <row r="56">
      <c r="B56" s="32" t="s">
        <v>55</v>
      </c>
      <c r="C56" s="8"/>
      <c r="D56" s="33">
        <v>0.1</v>
      </c>
      <c r="E56" s="43">
        <v>70.0</v>
      </c>
      <c r="F56" s="32" t="s">
        <v>56</v>
      </c>
      <c r="G56" s="8"/>
      <c r="H56" s="33">
        <v>0.333</v>
      </c>
      <c r="I56" s="43">
        <v>70.0</v>
      </c>
      <c r="L56" s="47"/>
    </row>
    <row r="57">
      <c r="B57" s="29" t="s">
        <v>24</v>
      </c>
      <c r="C57" s="8"/>
      <c r="D57" s="30">
        <v>0.3</v>
      </c>
      <c r="E57" s="43">
        <v>61.0</v>
      </c>
      <c r="F57" s="34"/>
      <c r="G57" s="2"/>
      <c r="H57" s="2"/>
      <c r="I57" s="3"/>
    </row>
    <row r="58">
      <c r="B58" s="32" t="s">
        <v>52</v>
      </c>
      <c r="C58" s="8"/>
      <c r="D58" s="33">
        <v>0.3</v>
      </c>
      <c r="E58" s="43">
        <f>IFERROR(ROUND(SUMPRODUCT(H54:H58,I54:I58)/(SUMIF(I54:I58,"&gt;0",H54:H58)),0),"")</f>
        <v>70</v>
      </c>
      <c r="F58" s="4"/>
      <c r="G58" s="5"/>
      <c r="H58" s="5"/>
      <c r="I58" s="6"/>
    </row>
    <row r="60">
      <c r="B60" s="23" t="str">
        <f>B10</f>
        <v>OFG: ACT1313 Problemas de las artes escénicas hoy</v>
      </c>
      <c r="C60" s="2"/>
      <c r="D60" s="2"/>
      <c r="E60" s="2"/>
      <c r="F60" s="2"/>
      <c r="G60" s="3"/>
      <c r="H60" s="24" t="s">
        <v>12</v>
      </c>
      <c r="I60" s="25" t="s">
        <v>13</v>
      </c>
    </row>
    <row r="61">
      <c r="B61" s="4"/>
      <c r="C61" s="5"/>
      <c r="D61" s="5"/>
      <c r="E61" s="5"/>
      <c r="F61" s="5"/>
      <c r="G61" s="6"/>
      <c r="H61" s="10">
        <f>I10</f>
        <v>10</v>
      </c>
      <c r="I61" s="26">
        <f>IFERROR(ROUND(SUMPRODUCT(D63:D66,E63:E66)/(SUMIF(E63:E66,"&gt;0",D63:D66)),0),"")</f>
        <v>59</v>
      </c>
    </row>
    <row r="62">
      <c r="B62" s="27" t="s">
        <v>14</v>
      </c>
      <c r="C62" s="8"/>
      <c r="D62" s="28" t="s">
        <v>15</v>
      </c>
      <c r="E62" s="28" t="s">
        <v>16</v>
      </c>
      <c r="F62" s="27"/>
      <c r="G62" s="8"/>
      <c r="H62" s="28" t="s">
        <v>15</v>
      </c>
      <c r="I62" s="28" t="s">
        <v>16</v>
      </c>
    </row>
    <row r="63">
      <c r="B63" s="32" t="s">
        <v>57</v>
      </c>
      <c r="C63" s="8"/>
      <c r="D63" s="33">
        <v>0.3</v>
      </c>
      <c r="E63" s="43">
        <v>60.0</v>
      </c>
      <c r="F63" s="34"/>
      <c r="G63" s="2"/>
      <c r="H63" s="2"/>
      <c r="I63" s="3"/>
    </row>
    <row r="64">
      <c r="B64" s="32" t="s">
        <v>58</v>
      </c>
      <c r="C64" s="8"/>
      <c r="D64" s="33">
        <v>0.3</v>
      </c>
      <c r="E64" s="43">
        <v>69.0</v>
      </c>
      <c r="F64" s="56"/>
      <c r="I64" s="57"/>
    </row>
    <row r="65">
      <c r="B65" s="32" t="s">
        <v>59</v>
      </c>
      <c r="C65" s="8"/>
      <c r="D65" s="33">
        <v>0.2</v>
      </c>
      <c r="E65" s="43">
        <v>42.0</v>
      </c>
      <c r="F65" s="56"/>
      <c r="I65" s="57"/>
    </row>
    <row r="66">
      <c r="B66" s="32"/>
      <c r="C66" s="8"/>
      <c r="D66" s="8"/>
      <c r="E66" s="9"/>
      <c r="F66" s="4"/>
      <c r="G66" s="5"/>
      <c r="H66" s="5"/>
      <c r="I66" s="6"/>
    </row>
  </sheetData>
  <mergeCells count="86">
    <mergeCell ref="B27:C27"/>
    <mergeCell ref="F27:G27"/>
    <mergeCell ref="J27:K27"/>
    <mergeCell ref="B28:C28"/>
    <mergeCell ref="F28:G28"/>
    <mergeCell ref="B29:C29"/>
    <mergeCell ref="F29:G29"/>
    <mergeCell ref="B30:C30"/>
    <mergeCell ref="F30:I30"/>
    <mergeCell ref="J30:K30"/>
    <mergeCell ref="B34:J35"/>
    <mergeCell ref="B36:C36"/>
    <mergeCell ref="F36:G36"/>
    <mergeCell ref="J36:K36"/>
    <mergeCell ref="B40:C40"/>
    <mergeCell ref="B41:C41"/>
    <mergeCell ref="B37:E37"/>
    <mergeCell ref="F37:G37"/>
    <mergeCell ref="J37:K37"/>
    <mergeCell ref="B38:C38"/>
    <mergeCell ref="F38:G38"/>
    <mergeCell ref="B39:C39"/>
    <mergeCell ref="J40:K40"/>
    <mergeCell ref="J41:K41"/>
    <mergeCell ref="F39:G39"/>
    <mergeCell ref="F40:G40"/>
    <mergeCell ref="F41:G41"/>
    <mergeCell ref="F42:G42"/>
    <mergeCell ref="F43:G43"/>
    <mergeCell ref="F44:G44"/>
    <mergeCell ref="F45:G45"/>
    <mergeCell ref="F53:G53"/>
    <mergeCell ref="F54:G54"/>
    <mergeCell ref="F46:G46"/>
    <mergeCell ref="F47:G47"/>
    <mergeCell ref="F48:G48"/>
    <mergeCell ref="F49:G49"/>
    <mergeCell ref="B51:G52"/>
    <mergeCell ref="B53:C53"/>
    <mergeCell ref="B54:C54"/>
    <mergeCell ref="B60:G61"/>
    <mergeCell ref="B62:C62"/>
    <mergeCell ref="F62:G62"/>
    <mergeCell ref="B63:C63"/>
    <mergeCell ref="F63:I66"/>
    <mergeCell ref="B64:C64"/>
    <mergeCell ref="B65:C65"/>
    <mergeCell ref="B66:E66"/>
    <mergeCell ref="B55:C55"/>
    <mergeCell ref="F55:G55"/>
    <mergeCell ref="B56:C56"/>
    <mergeCell ref="F56:G56"/>
    <mergeCell ref="B57:C57"/>
    <mergeCell ref="F57:I58"/>
    <mergeCell ref="B58:C58"/>
    <mergeCell ref="B3:I4"/>
    <mergeCell ref="B5:F5"/>
    <mergeCell ref="B6:F6"/>
    <mergeCell ref="B7:F7"/>
    <mergeCell ref="B8:F8"/>
    <mergeCell ref="B9:F9"/>
    <mergeCell ref="B10:F10"/>
    <mergeCell ref="F18:G18"/>
    <mergeCell ref="F19:G19"/>
    <mergeCell ref="B11:F11"/>
    <mergeCell ref="B13:I13"/>
    <mergeCell ref="B15:G16"/>
    <mergeCell ref="B17:C17"/>
    <mergeCell ref="F17:G17"/>
    <mergeCell ref="B18:C18"/>
    <mergeCell ref="B19:C19"/>
    <mergeCell ref="F26:G26"/>
    <mergeCell ref="J26:K26"/>
    <mergeCell ref="B20:C20"/>
    <mergeCell ref="F20:G20"/>
    <mergeCell ref="B21:C21"/>
    <mergeCell ref="F21:I22"/>
    <mergeCell ref="B22:C22"/>
    <mergeCell ref="B24:G25"/>
    <mergeCell ref="B26:C26"/>
    <mergeCell ref="J28:K28"/>
    <mergeCell ref="J29:K29"/>
    <mergeCell ref="J31:K31"/>
    <mergeCell ref="J32:K32"/>
    <mergeCell ref="J38:K38"/>
    <mergeCell ref="J39:K39"/>
  </mergeCells>
  <drawing r:id="rId1"/>
</worksheet>
</file>